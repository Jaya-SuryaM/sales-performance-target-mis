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defaultThemeVersion="166925"/>
  <mc:AlternateContent xmlns:mc="http://schemas.openxmlformats.org/markup-compatibility/2006">
    <mc:Choice Requires="x15">
      <x15ac:absPath xmlns:x15ac="http://schemas.microsoft.com/office/spreadsheetml/2010/11/ac" url="C:\Users\jayas\Downloads\"/>
    </mc:Choice>
  </mc:AlternateContent>
  <xr:revisionPtr revIDLastSave="0" documentId="13_ncr:1_{8C2EB076-BDF1-4BA9-BE0E-65496ECFCAB5}" xr6:coauthVersionLast="47" xr6:coauthVersionMax="47" xr10:uidLastSave="{00000000-0000-0000-0000-000000000000}"/>
  <bookViews>
    <workbookView xWindow="-108" yWindow="-108" windowWidth="23256" windowHeight="13176" activeTab="0" xr2:uid="{9B6A81CA-9CF4-4E69-9740-0A68B39F0D2D}" firstSheet="0"/>
  </bookViews>
  <sheets>
    <sheet name="Dashboard" sheetId="12" r:id="rId8"/>
    <sheet name="Daily Summary" sheetId="2" r:id="rId1"/>
    <sheet name="Monthly Performance" sheetId="9" r:id="rId2"/>
    <sheet name="Monthly Trend" sheetId="3" r:id="rId3"/>
    <sheet name="Reference Data" sheetId="7" r:id="rId4"/>
    <sheet name="Product Summary" sheetId="4" r:id="rId5"/>
    <sheet name="Sales Detail" sheetId="5" r:id="rId6"/>
    <sheet name="Target Detail" sheetId="6" r:id="rId7"/>
    <sheet name="Helper Tables" sheetId="13" state="hidden" r:id="rId9"/>
  </sheets>
  <definedNames>
    <definedName name="_xlcn.WorksheetConnection_projectbook1.xlsxtb1Months1" hidden="1">tb1Months[]</definedName>
    <definedName name="_xlcn.WorksheetConnection_projectbook1.xlsxtb1people1" hidden="1">tb1people[]</definedName>
    <definedName name="_xlcn.WorksheetConnection_projectbook1.xlsxv_daily_revenue1" hidden="1">v_daily_revenue[]</definedName>
    <definedName name="ExternalData_1" localSheetId="1" hidden="1">'Daily Summary'!$A$1:$D$304</definedName>
    <definedName name="ExternalData_2" localSheetId="3" hidden="1">'Monthly Trend'!$A$1:$E$11</definedName>
    <definedName name="ExternalData_3" localSheetId="5" hidden="1">'Product Summary'!$A$1:$D$13</definedName>
    <definedName name="ExternalData_4" localSheetId="6" hidden="1">'Sales Detail'!$A$1:$I$3001</definedName>
    <definedName name="ExternalData_5" localSheetId="7" hidden="1">'Target Detail'!$A$1:$H$81</definedName>
    <definedName name="DashboardYearOptions">OFFSET('Reference Data'!$G$2,0,0,COUNTA('Reference Data'!$G:$G)-1,1)</definedName>
  </definedNames>
  <calcPr calcId="191029" calcMode="auto" fullCalcOnLoad="1" forceFullCalc="1"/>
  <pivotCaches>
    <pivotCache cacheId="3" r:id="rId10"/>
    <pivotCache cacheId="4" r:id="rId1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_daily_revenue_f90482d2-c19f-41b4-ab03-7b710711a2bb" name="v_daily_revenue" connection="Query - v_daily_revenue"/>
          <x15:modelTable id="v_monthly_revenue_8c74de13-aaae-4947-8aaa-e2302d56f16c" name="v_monthly_revenue" connection="Query - v_monthly_revenue"/>
          <x15:modelTable id="v_product_performance_4f2ec3bb-8493-49e4-8005-9be2dfcbe587" name="v_product_performance" connection="Query - v_product_performance"/>
          <x15:modelTable id="v_sales_detail_0962b4c3-0c22-4f9b-a170-8e1a6738b4b5" name="v_sales_detail" connection="Query - v_sales_detail"/>
          <x15:modelTable id="v_target_vs_actual_cec7b1cb-0b03-4f05-ba7c-4a65f4134885" name="v_target_vs_actual" connection="Query - v_target_vs_actual"/>
          <x15:modelTable id="v_daily_revenue 1" name="v_daily_revenue 1" connection="WorksheetConnection_projectbook1.xlsx!v_daily_revenue"/>
          <x15:modelTable id="tb1people" name="tb1people" connection="WorksheetConnection_projectbook1.xlsx!tb1people"/>
          <x15:modelTable id="tb1Months" name="tb1Months" connection="WorksheetConnection_projectbook1.xlsx!tb1Months"/>
        </x15:modelTables>
        <x15:modelRelationships>
          <x15:modelRelationship fromTable="v_sales_detail" fromColumn="sale_month" toTable="tb1Months" toColumn="month_no"/>
          <x15:modelRelationship fromTable="v_sales_detail" fromColumn="salesperson" toTable="tb1people" toColumn="salesperson"/>
          <x15:modelRelationship fromTable="v_target_vs_actual" fromColumn="target_month" toTable="tb1Months" toColumn="month_no"/>
          <x15:modelRelationship fromTable="v_target_vs_actual" fromColumn="salesperson" toTable="tb1people" toColumn="salespers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3" l="1"/>
  <c r="D3" i="13"/>
  <c r="D4" i="13"/>
  <c r="E11" i="13"/>
  <c r="F11" i="13"/>
  <c r="E12" i="13"/>
  <c r="F12" i="13"/>
  <c r="E13" i="13"/>
  <c r="F13" i="13"/>
  <c r="E14" i="13"/>
  <c r="F14" i="13"/>
  <c r="C40" i="13"/>
  <c r="D40" i="13"/>
  <c r="C41" i="13"/>
  <c r="D41" i="13"/>
  <c r="E41" i="13"/>
  <c r="F41" i="13"/>
  <c r="G41" i="13" s="1"/>
  <c r="C42" i="13"/>
  <c r="D42" i="13"/>
  <c r="E42" i="13"/>
  <c r="F42" i="13"/>
  <c r="G42" i="13" s="1"/>
  <c r="C43" i="13"/>
  <c r="D43" i="13"/>
  <c r="C44" i="13"/>
  <c r="D44" i="13"/>
  <c r="E44" i="13"/>
  <c r="F44" i="13"/>
  <c r="G44" i="13"/>
  <c r="C45" i="13"/>
  <c r="D45" i="13"/>
  <c r="C46" i="13"/>
  <c r="D46" i="13"/>
  <c r="E46" i="13"/>
  <c r="F46" i="13"/>
  <c r="G46" i="13"/>
  <c r="C47" i="13"/>
  <c r="D47" i="13"/>
  <c r="C51" i="13"/>
  <c r="C52" i="13"/>
  <c r="C53" i="13"/>
  <c r="C54" i="13"/>
  <c r="C55" i="13"/>
  <c r="C56" i="13"/>
  <c r="C57" i="13"/>
  <c r="C58" i="13"/>
  <c r="C59" i="13"/>
  <c r="C60" i="13"/>
  <c r="C61" i="13"/>
  <c r="C62" i="13"/>
  <c r="B3" i="7"/>
  <c r="B4" i="7"/>
  <c r="B5" i="7"/>
  <c r="B6" i="7"/>
  <c r="B7" i="7"/>
  <c r="B8" i="7"/>
  <c r="B9" i="7"/>
  <c r="B10" i="7"/>
  <c r="B11" i="7"/>
  <c r="B12" i="7"/>
  <c r="B13" i="7"/>
  <c r="B2" i="7"/>
  <c r="B6" i="12"/>
  <c r="E43" i="13" l="1"/>
  <c r="F43" i="13"/>
  <c r="E15" i="13"/>
  <c r="F18" i="13"/>
  <c r="F15" i="13"/>
  <c r="E16" i="13"/>
  <c r="F16" i="13"/>
  <c r="E17" i="13"/>
  <c r="F17" i="13"/>
  <c r="E18" i="13"/>
  <c r="E19" i="13"/>
  <c r="F19" i="13"/>
  <c r="E20" i="13"/>
  <c r="F20" i="13"/>
  <c r="E21" i="13"/>
  <c r="F21" i="13"/>
  <c r="E10" i="13"/>
  <c r="F10" i="13"/>
  <c r="D6" i="13"/>
  <c r="D5" i="13"/>
  <c r="D7" i="13"/>
  <c r="G11" i="13"/>
  <c r="J11" i="13"/>
  <c r="G12" i="13"/>
  <c r="J12" i="13"/>
  <c r="G13" i="13"/>
  <c r="J13" i="13"/>
  <c r="J14" i="13"/>
  <c r="G14" i="13"/>
  <c r="E40" i="13"/>
  <c r="F40" i="13"/>
  <c r="G40" i="13" s="1"/>
  <c r="G43" i="13"/>
  <c r="D25" i="13" l="1"/>
  <c r="K4" i="12" s="1"/>
  <c r="D24" i="13"/>
  <c r="D102" i="13"/>
  <c r="D98" i="13"/>
  <c r="D99" i="13"/>
  <c r="D100" i="13"/>
  <c r="D101" i="13"/>
  <c r="J18" i="13"/>
  <c r="G18" i="13"/>
  <c r="J15" i="13"/>
  <c r="G15" i="13"/>
  <c r="J16" i="13"/>
  <c r="G16" i="13"/>
  <c r="J17" i="13"/>
  <c r="G17" i="13"/>
  <c r="J19" i="13"/>
  <c r="G19" i="13"/>
  <c r="J20" i="13"/>
  <c r="G20" i="13"/>
  <c r="J21" i="13"/>
  <c r="G21" i="13"/>
  <c r="G10" i="13"/>
  <c r="J10" i="13"/>
  <c r="D51" i="13"/>
  <c r="E51" i="13" s="1"/>
  <c r="E45" i="13"/>
  <c r="D62" i="13"/>
  <c r="E62" i="13" s="1"/>
  <c r="D60" i="13"/>
  <c r="E60" i="13" s="1"/>
  <c r="D59" i="13"/>
  <c r="E59" i="13" s="1"/>
  <c r="D58" i="13"/>
  <c r="E58" i="13" s="1"/>
  <c r="D57" i="13"/>
  <c r="E57" i="13" s="1"/>
  <c r="D56" i="13"/>
  <c r="E56" i="13" s="1"/>
  <c r="D55" i="13"/>
  <c r="E55" i="13" s="1"/>
  <c r="D54" i="13"/>
  <c r="E54" i="13" s="1"/>
  <c r="D53" i="13"/>
  <c r="E53" i="13" s="1"/>
  <c r="F47" i="13"/>
  <c r="F45" i="13"/>
  <c r="G45" i="13" s="1"/>
  <c r="D61" i="13"/>
  <c r="E61" i="13" s="1"/>
  <c r="E47" i="13"/>
  <c r="D96" i="13"/>
  <c r="D93" i="13"/>
  <c r="D91" i="13"/>
  <c r="D88" i="13"/>
  <c r="D85" i="13"/>
  <c r="D82" i="13"/>
  <c r="D79" i="13"/>
  <c r="D97" i="13"/>
  <c r="D94" i="13"/>
  <c r="D90" i="13"/>
  <c r="D87" i="13"/>
  <c r="D84" i="13"/>
  <c r="D80" i="13"/>
  <c r="D77" i="13"/>
  <c r="D95" i="13"/>
  <c r="D92" i="13"/>
  <c r="D89" i="13"/>
  <c r="D86" i="13"/>
  <c r="D83" i="13"/>
  <c r="D81" i="13"/>
  <c r="D78" i="13"/>
  <c r="I11" i="13"/>
  <c r="H11" i="13"/>
  <c r="H12" i="13"/>
  <c r="I12" i="13"/>
  <c r="H13" i="13"/>
  <c r="I13" i="13"/>
  <c r="I14" i="13"/>
  <c r="H14" i="13"/>
  <c r="D52" i="13"/>
  <c r="E52" i="13" s="1"/>
  <c r="D34" i="13"/>
  <c r="E33" i="13"/>
  <c r="D35" i="13"/>
  <c r="E36" i="13"/>
  <c r="D27" i="13"/>
  <c r="S4" i="12" s="1"/>
  <c r="D33" i="13"/>
  <c r="F33" i="13" s="1"/>
  <c r="D36" i="13"/>
  <c r="F36" i="13" s="1"/>
  <c r="E35" i="13"/>
  <c r="E34" i="13"/>
  <c r="D104" i="13"/>
  <c r="D105" i="13"/>
  <c r="D106" i="13"/>
  <c r="D107" i="13"/>
  <c r="D103" i="13"/>
  <c r="F35" i="13" l="1"/>
  <c r="D28" i="13"/>
  <c r="D26" i="13"/>
  <c r="O4" i="12" s="1"/>
  <c r="G4" i="12"/>
  <c r="I18" i="13"/>
  <c r="H18" i="13"/>
  <c r="I15" i="13"/>
  <c r="H15" i="13"/>
  <c r="I16" i="13"/>
  <c r="H16" i="13"/>
  <c r="I17" i="13"/>
  <c r="H17" i="13"/>
  <c r="I19" i="13"/>
  <c r="H19" i="13"/>
  <c r="I20" i="13"/>
  <c r="H20" i="13"/>
  <c r="I21" i="13"/>
  <c r="H21" i="13"/>
  <c r="H10" i="13"/>
  <c r="I10" i="13"/>
  <c r="C66" i="13"/>
  <c r="C68" i="13"/>
  <c r="C70" i="13"/>
  <c r="D71" i="13"/>
  <c r="C73" i="13"/>
  <c r="D66" i="13"/>
  <c r="D68" i="13"/>
  <c r="D69" i="13"/>
  <c r="C71" i="13"/>
  <c r="D72" i="13"/>
  <c r="C67" i="13"/>
  <c r="D67" i="13"/>
  <c r="C69" i="13"/>
  <c r="D70" i="13"/>
  <c r="C72" i="13"/>
  <c r="D73" i="13"/>
  <c r="G47" i="13"/>
  <c r="F34" i="13"/>
  <c r="D29" i="13" l="1"/>
  <c r="D30" i="13" s="1"/>
  <c r="H18"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81D026-FE29-45ED-BD52-9C3411601305}" keepAlive="1" name="ModelConnection_ExternalData_1" description="Data Model" type="5" refreshedVersion="8" minRefreshableVersion="5" saveData="1">
    <dbPr connection="Data Model Connection" command="v_daily_revenue" commandType="3"/>
    <extLst>
      <ext xmlns:x15="http://schemas.microsoft.com/office/spreadsheetml/2010/11/main" uri="{DE250136-89BD-433C-8126-D09CA5730AF9}">
        <x15:connection id="" model="1"/>
      </ext>
    </extLst>
  </connection>
  <connection id="2" xr16:uid="{5ECF4739-1459-4896-B926-F9FD8A2EC949}" keepAlive="1" name="ModelConnection_ExternalData_2" description="Data Model" type="5" refreshedVersion="8" minRefreshableVersion="5" saveData="1">
    <dbPr connection="Data Model Connection" command="v_monthly_revenue" commandType="3"/>
    <extLst>
      <ext xmlns:x15="http://schemas.microsoft.com/office/spreadsheetml/2010/11/main" uri="{DE250136-89BD-433C-8126-D09CA5730AF9}">
        <x15:connection id="" model="1"/>
      </ext>
    </extLst>
  </connection>
  <connection id="3" xr16:uid="{3867853C-6EC2-4272-B044-CA7BDAB321BA}" keepAlive="1" name="ModelConnection_ExternalData_3" description="Data Model" type="5" refreshedVersion="8" minRefreshableVersion="5" saveData="1">
    <dbPr connection="Data Model Connection" command="v_product_performance" commandType="3"/>
    <extLst>
      <ext xmlns:x15="http://schemas.microsoft.com/office/spreadsheetml/2010/11/main" uri="{DE250136-89BD-433C-8126-D09CA5730AF9}">
        <x15:connection id="" model="1"/>
      </ext>
    </extLst>
  </connection>
  <connection id="4" xr16:uid="{3820C086-DAB2-4762-9106-5DA07E92656F}" keepAlive="1" name="ModelConnection_ExternalData_4" description="Data Model" type="5" refreshedVersion="8" minRefreshableVersion="5" saveData="1">
    <dbPr connection="Data Model Connection" command="v_sales_detail" commandType="3"/>
    <extLst>
      <ext xmlns:x15="http://schemas.microsoft.com/office/spreadsheetml/2010/11/main" uri="{DE250136-89BD-433C-8126-D09CA5730AF9}">
        <x15:connection id="" model="1"/>
      </ext>
    </extLst>
  </connection>
  <connection id="5" xr16:uid="{E1CDA958-2F0F-4388-B5AA-FE20E1108F5F}" keepAlive="1" name="ModelConnection_ExternalData_5" description="Data Model" type="5" refreshedVersion="8" minRefreshableVersion="5" saveData="1">
    <dbPr connection="Data Model Connection" command="v_target_vs_actual" commandType="3"/>
    <extLst>
      <ext xmlns:x15="http://schemas.microsoft.com/office/spreadsheetml/2010/11/main" uri="{DE250136-89BD-433C-8126-D09CA5730AF9}">
        <x15:connection id="" model="1"/>
      </ext>
    </extLst>
  </connection>
  <connection id="6" xr16:uid="{AC9D138F-6917-44BB-BE4C-7980699BBE8D}" name="Query - v_daily_revenue" description="Connection to the 'v_daily_revenue' query in the workbook." type="100" refreshedVersion="8" minRefreshableVersion="5">
    <extLst>
      <ext xmlns:x15="http://schemas.microsoft.com/office/spreadsheetml/2010/11/main" uri="{DE250136-89BD-433C-8126-D09CA5730AF9}">
        <x15:connection id="48fec084-cfc8-454a-8df8-a9ff81e6d62a"/>
      </ext>
    </extLst>
  </connection>
  <connection id="7" xr16:uid="{FA4D25EE-1FF6-44D1-ACB0-40FD5EB661D0}" name="Query - v_monthly_revenue" description="Connection to the 'v_monthly_revenue' query in the workbook." type="100" refreshedVersion="8" minRefreshableVersion="5">
    <extLst>
      <ext xmlns:x15="http://schemas.microsoft.com/office/spreadsheetml/2010/11/main" uri="{DE250136-89BD-433C-8126-D09CA5730AF9}">
        <x15:connection id="3f033f95-26b0-4436-a2cd-dac306f6b5b2"/>
      </ext>
    </extLst>
  </connection>
  <connection id="8" xr16:uid="{0D79234F-5F21-4624-BA15-9F88EAF8CF36}" name="Query - v_product_performance" description="Connection to the 'v_product_performance' query in the workbook." type="100" refreshedVersion="8" minRefreshableVersion="5">
    <extLst>
      <ext xmlns:x15="http://schemas.microsoft.com/office/spreadsheetml/2010/11/main" uri="{DE250136-89BD-433C-8126-D09CA5730AF9}">
        <x15:connection id="606db7b0-5a48-498e-a5ad-f1ab5b56914f"/>
      </ext>
    </extLst>
  </connection>
  <connection id="9" xr16:uid="{BD09129C-49AF-4B6A-A7FA-351A3DE52D27}" name="Query - v_sales_detail" description="Connection to the 'v_sales_detail' query in the workbook." type="100" refreshedVersion="8" minRefreshableVersion="5">
    <extLst>
      <ext xmlns:x15="http://schemas.microsoft.com/office/spreadsheetml/2010/11/main" uri="{DE250136-89BD-433C-8126-D09CA5730AF9}">
        <x15:connection id="68003ce2-20a3-4ade-83fb-b05c1fb44938"/>
      </ext>
    </extLst>
  </connection>
  <connection id="10" xr16:uid="{88F56548-6E8A-49FF-888C-4B6BD4EE3BE5}" name="Query - v_target_vs_actual" description="Connection to the 'v_target_vs_actual' query in the workbook." type="100" refreshedVersion="8" minRefreshableVersion="5">
    <extLst>
      <ext xmlns:x15="http://schemas.microsoft.com/office/spreadsheetml/2010/11/main" uri="{DE250136-89BD-433C-8126-D09CA5730AF9}">
        <x15:connection id="5320c40a-a4c1-4ebf-bb16-309c20558269"/>
      </ext>
    </extLst>
  </connection>
  <connection id="11" xr16:uid="{F710A642-96F4-4B7B-9EB5-6D9ED7AC40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3FA59DAF-E822-4A65-A402-34458C802097}" name="WorksheetConnection_projectbook1.xlsx!tb1Months" type="102" refreshedVersion="8" minRefreshableVersion="5">
    <extLst>
      <ext xmlns:x15="http://schemas.microsoft.com/office/spreadsheetml/2010/11/main" uri="{DE250136-89BD-433C-8126-D09CA5730AF9}">
        <x15:connection id="tb1Months">
          <x15:rangePr sourceName="_xlcn.WorksheetConnection_projectbook1.xlsxtb1Months1"/>
        </x15:connection>
      </ext>
    </extLst>
  </connection>
  <connection id="13" xr16:uid="{93283263-DA01-4E3A-B828-1BA2C2BE65DB}" name="WorksheetConnection_projectbook1.xlsx!tb1people" type="102" refreshedVersion="8" minRefreshableVersion="5">
    <extLst>
      <ext xmlns:x15="http://schemas.microsoft.com/office/spreadsheetml/2010/11/main" uri="{DE250136-89BD-433C-8126-D09CA5730AF9}">
        <x15:connection id="tb1people">
          <x15:rangePr sourceName="_xlcn.WorksheetConnection_projectbook1.xlsxtb1people1"/>
        </x15:connection>
      </ext>
    </extLst>
  </connection>
  <connection id="14" xr16:uid="{29F2B532-2ADB-4812-848E-0B7242EBF6D9}" name="WorksheetConnection_projectbook1.xlsx!v_daily_revenue" type="102" refreshedVersion="8" minRefreshableVersion="5">
    <extLst>
      <ext xmlns:x15="http://schemas.microsoft.com/office/spreadsheetml/2010/11/main" uri="{DE250136-89BD-433C-8126-D09CA5730AF9}">
        <x15:connection id="v_daily_revenue 1">
          <x15:rangePr sourceName="_xlcn.WorksheetConnection_projectbook1.xlsxv_daily_revenue1"/>
        </x15:connection>
      </ext>
    </extLst>
  </connection>
</connections>
</file>

<file path=xl/sharedStrings.xml><?xml version="1.0" encoding="utf-8"?>
<sst xmlns="http://schemas.openxmlformats.org/spreadsheetml/2006/main" count="12406" uniqueCount="109">
  <si>
    <t>sale_date</t>
  </si>
  <si>
    <t>orders</t>
  </si>
  <si>
    <t>units</t>
  </si>
  <si>
    <t>revenue</t>
  </si>
  <si>
    <t>sale_year</t>
  </si>
  <si>
    <t>sale_month</t>
  </si>
  <si>
    <t>month_name</t>
  </si>
  <si>
    <t>Jan</t>
  </si>
  <si>
    <t>Feb</t>
  </si>
  <si>
    <t>Mar</t>
  </si>
  <si>
    <t>Apr</t>
  </si>
  <si>
    <t>May</t>
  </si>
  <si>
    <t>Jun</t>
  </si>
  <si>
    <t>Jul</t>
  </si>
  <si>
    <t>Aug</t>
  </si>
  <si>
    <t>Sep</t>
  </si>
  <si>
    <t>Oct</t>
  </si>
  <si>
    <t>product_name</t>
  </si>
  <si>
    <t>category</t>
  </si>
  <si>
    <t>units_sold</t>
  </si>
  <si>
    <t>Laptop</t>
  </si>
  <si>
    <t>Computers</t>
  </si>
  <si>
    <t>Smartphone</t>
  </si>
  <si>
    <t>Mobiles</t>
  </si>
  <si>
    <t>Tablet</t>
  </si>
  <si>
    <t>Monitor</t>
  </si>
  <si>
    <t>Printer</t>
  </si>
  <si>
    <t>Smartwatch</t>
  </si>
  <si>
    <t>Webcam</t>
  </si>
  <si>
    <t>Networking</t>
  </si>
  <si>
    <t>Headphones</t>
  </si>
  <si>
    <t>Accessories</t>
  </si>
  <si>
    <t>Router</t>
  </si>
  <si>
    <t>Power Bank</t>
  </si>
  <si>
    <t>Keyboard</t>
  </si>
  <si>
    <t>Mouse</t>
  </si>
  <si>
    <t>salesperson</t>
  </si>
  <si>
    <t>region</t>
  </si>
  <si>
    <t>quantity</t>
  </si>
  <si>
    <t>amount</t>
  </si>
  <si>
    <t>Salesperson 08</t>
  </si>
  <si>
    <t>West</t>
  </si>
  <si>
    <t>Salesperson 04</t>
  </si>
  <si>
    <t>South</t>
  </si>
  <si>
    <t>Salesperson 03</t>
  </si>
  <si>
    <t>East</t>
  </si>
  <si>
    <t>Salesperson 07</t>
  </si>
  <si>
    <t>North</t>
  </si>
  <si>
    <t>Salesperson 02</t>
  </si>
  <si>
    <t>Salesperson 06</t>
  </si>
  <si>
    <t>Salesperson 05</t>
  </si>
  <si>
    <t>Salesperson 01</t>
  </si>
  <si>
    <t>target_year</t>
  </si>
  <si>
    <t>target_month</t>
  </si>
  <si>
    <t>target_amount</t>
  </si>
  <si>
    <t>actual_amount</t>
  </si>
  <si>
    <t>achievement_pct</t>
  </si>
  <si>
    <t>status</t>
  </si>
  <si>
    <t>Achieved</t>
  </si>
  <si>
    <t>Near target</t>
  </si>
  <si>
    <t>month_no</t>
  </si>
  <si>
    <t>month_label</t>
  </si>
  <si>
    <t>01 Jan</t>
  </si>
  <si>
    <t>Grand Total</t>
  </si>
  <si>
    <t>Row Labels</t>
  </si>
  <si>
    <t>02 Feb</t>
  </si>
  <si>
    <t>03 Mar</t>
  </si>
  <si>
    <t>04 Apr</t>
  </si>
  <si>
    <t>05 May</t>
  </si>
  <si>
    <t>06 Jun</t>
  </si>
  <si>
    <t>07 Jul</t>
  </si>
  <si>
    <t>08 Aug</t>
  </si>
  <si>
    <t>09 Sep</t>
  </si>
  <si>
    <t>10 Oct</t>
  </si>
  <si>
    <t>Revenue</t>
  </si>
  <si>
    <t>Target</t>
  </si>
  <si>
    <t>Delta</t>
  </si>
  <si>
    <t>Achivement</t>
  </si>
  <si>
    <t>HELPER TABLES: feed the charts. Do not edit.</t>
  </si>
  <si>
    <t>Year</t>
  </si>
  <si>
    <t>SALES</t>
  </si>
  <si>
    <t>Delta (Revenue vs Target)</t>
  </si>
  <si>
    <t>Orders</t>
  </si>
  <si>
    <t>Region filter</t>
  </si>
  <si>
    <t>Month no (0=All)</t>
  </si>
  <si>
    <t>Month from</t>
  </si>
  <si>
    <t>Month to</t>
  </si>
  <si>
    <t>Daily month</t>
  </si>
  <si>
    <t>Month no</t>
  </si>
  <si>
    <t>Month</t>
  </si>
  <si>
    <t>Delta +</t>
  </si>
  <si>
    <t>Delta -</t>
  </si>
  <si>
    <t>Region</t>
  </si>
  <si>
    <t>Nov</t>
  </si>
  <si>
    <t>of target</t>
  </si>
  <si>
    <t>Dec</t>
  </si>
  <si>
    <t>Click a blue box, then the ▼ arrow, to choose the year, region or month. KPIs, donut, region, salesperson and product charts follow the Month and Region. The monthly charts follow the Region only. The daily chart shows the chosen month (or the latest month when Month = All).</t>
  </si>
  <si>
    <t>KPIs</t>
  </si>
  <si>
    <t>Achievement</t>
  </si>
  <si>
    <t>Reached</t>
  </si>
  <si>
    <t>Remaining</t>
  </si>
  <si>
    <t>Salesperson</t>
  </si>
  <si>
    <t>Product</t>
  </si>
  <si>
    <t>Sort key</t>
  </si>
  <si>
    <t>Top products</t>
  </si>
  <si>
    <t>Day</t>
  </si>
  <si>
    <t>All</t>
  </si>
  <si>
    <t>Sales Records</t>
  </si>
  <si>
    <t>Choose a year, region and month above. KPIs, achievement, salesperson, product and daily views follow your filters. The region chart compares all four regions for the chosen year and month. Monthly revenue and delta show all months for the selected year and region. When Month = All, the daily chart shows the latest month with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</si>
</sst>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4009]#,##0.0,,&quot;M&quot;"/>
    <numFmt numFmtId="166" formatCode="[$₹-4009]#,##0,&quot;k&quot;;\-[$₹-4009]#,##0,&quot;k&quot;"/>
    <numFmt numFmtId="167" formatCode="#,##0,&quot;k&quot;"/>
    <numFmt numFmtId="168" formatCode="#,##0,&quot;k&quot;;\-#,##0,&quot;k&quot;"/>
    <numFmt numFmtId="169" formatCode="#,##0,&quot;k&quot;;\-#,##0,&quot;k&quot;;;"/>
    <numFmt numFmtId="170" formatCode="#,##0;\-#,##0"/>
    <numFmt numFmtId="171" formatCode="#,##0.000000"/>
  </numFmts>
  <fonts count="36"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ont>
    <font>
      <b/>
      <sz val="30"/>
      <color rgb="FFFFFFFF"/>
      <name val="Arial"/>
    </font>
    <font>
      <sz val="10"/>
      <color rgb="FFFFFFFF"/>
      <name val="Arial"/>
    </font>
    <font>
      <sz val="11"/>
      <color theme="1"/>
      <name val="Calibri"/>
      <family val="2"/>
      <scheme val="minor"/>
    </font>
    <font>
      <sz val="11"/>
      <color theme="1"/>
      <name val="Calibri"/>
      <family val="2"/>
      <scheme val="minor"/>
    </font>
    <font>
      <b/>
      <sz val="24"/>
      <color rgb="FFFFFFFF"/>
      <name val="Arial"/>
    </font>
    <font>
      <b/>
      <sz val="24"/>
      <color rgb="FFFFFFFF"/>
      <name val="Arial"/>
    </font>
    <font>
      <b/>
      <sz val="24"/>
      <color rgb="FFFFFFFF"/>
      <name val="Arial"/>
    </font>
    <font>
      <sz val="11"/>
      <color theme="1"/>
      <name val="Calibri"/>
      <family val="2"/>
      <scheme val="minor"/>
    </font>
    <font>
      <i/>
      <sz val="10"/>
      <color rgb="FFFFFFFF"/>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1B5E83"/>
      <name val="Arial"/>
    </font>
    <font>
      <sz val="11"/>
      <color theme="1"/>
      <name val="Calibri"/>
      <family val="2"/>
      <scheme val="minor"/>
    </font>
    <font>
      <sz val="10"/>
      <name val="Arial"/>
    </font>
    <font>
      <sz val="10"/>
      <name val="Arial"/>
    </font>
    <font>
      <sz val="10"/>
      <name val="Arial"/>
    </font>
    <font>
      <b/>
      <sz val="16"/>
      <color rgb="FFFFFFFF"/>
      <name val="Arial"/>
    </font>
    <font>
      <b/>
      <sz val="14"/>
      <color rgb="FFFFFFFF"/>
      <name val="Arial"/>
    </font>
    <font>
      <b/>
      <sz val="34"/>
      <color rgb="FF1B5E83"/>
      <name val="Arial"/>
    </font>
    <font>
      <sz val="11"/>
      <color rgb="FF595959"/>
      <name val="Arial"/>
    </font>
    <font>
      <i/>
      <sz val="9"/>
      <color rgb="FF7F7F7F"/>
      <name val="Arial"/>
    </font>
    <font>
      <sz val="10"/>
      <name val="Arial"/>
    </font>
    <font>
      <sz val="10"/>
      <name val="Arial"/>
    </font>
    <font>
      <sz val="10"/>
      <name val="Arial"/>
    </font>
    <font>
      <sz val="10"/>
      <name val="Arial"/>
    </font>
  </fonts>
  <fills count="35">
    <fill>
      <patternFill patternType="none"/>
    </fill>
    <fill>
      <patternFill patternType="gray125"/>
    </fill>
    <fill>
      <patternFill patternType="solid">
        <fgColor rgb="FF1B5E83"/>
        <bgColor rgb="FF1B5E83"/>
      </patternFill>
    </fill>
    <fill>
      <patternFill patternType="none"/>
    </fill>
    <fill>
      <patternFill patternType="solid">
        <fgColor rgb="FF1B5E83"/>
        <bgColor rgb="FF1B5E83"/>
      </patternFill>
    </fill>
    <fill>
      <patternFill patternType="solid">
        <fgColor rgb="FF1B5E83"/>
        <bgColor rgb="FF1B5E83"/>
      </patternFill>
    </fill>
    <fill>
      <patternFill patternType="solid">
        <fgColor rgb="FF1B5E83"/>
        <bgColor rgb="FF1B5E83"/>
      </patternFill>
    </fill>
    <fill>
      <patternFill patternType="none"/>
    </fill>
    <fill>
      <patternFill patternType="solid">
        <fgColor rgb="FF1B5E83"/>
        <bgColor rgb="FF1B5E83"/>
      </patternFill>
    </fill>
    <fill>
      <patternFill patternType="solid">
        <fgColor rgb="FF1B5E83"/>
        <bgColor rgb="FF1B5E83"/>
      </patternFill>
    </fill>
    <fill>
      <patternFill patternType="none"/>
    </fill>
    <fill>
      <patternFill patternType="none"/>
    </fill>
    <fill>
      <patternFill patternType="solid">
        <fgColor rgb="FF1B5E83"/>
        <bgColor rgb="FF1B5E83"/>
      </patternFill>
    </fill>
    <fill>
      <patternFill patternType="solid">
        <fgColor rgb="FF1B5E83"/>
        <bgColor rgb="FF1B5E83"/>
      </patternFill>
    </fill>
    <fill>
      <patternFill patternType="solid">
        <fgColor rgb="FF1B5E83"/>
        <bgColor rgb="FF1B5E83"/>
      </patternFill>
    </fill>
    <fill>
      <patternFill patternType="none"/>
    </fill>
    <fill>
      <patternFill patternType="solid">
        <fgColor rgb="FF1B5E83"/>
        <bgColor rgb="FF1B5E83"/>
      </patternFill>
    </fill>
    <fill>
      <patternFill patternType="solid">
        <fgColor rgb="FF1B5E83"/>
        <bgColor rgb="FF1B5E83"/>
      </patternFill>
    </fill>
    <fill>
      <patternFill patternType="solid">
        <fgColor rgb="FF1B5E83"/>
        <bgColor rgb="FF1B5E83"/>
      </patternFill>
    </fill>
    <fill>
      <patternFill patternType="solid">
        <fgColor rgb="FF1B5E83"/>
        <bgColor rgb="FF1B5E83"/>
      </patternFill>
    </fill>
    <fill>
      <patternFill patternType="solid">
        <fgColor rgb="FFF0F0F0"/>
        <bgColor rgb="FFF0F0F0"/>
      </patternFill>
    </fill>
    <fill>
      <patternFill patternType="solid">
        <fgColor rgb="FFFFFFFF"/>
        <bgColor rgb="FFFFFFFF"/>
      </patternFill>
    </fill>
    <fill>
      <patternFill patternType="solid">
        <fgColor rgb="FFFFFFFF"/>
        <bgColor rgb="FFFFFFFF"/>
      </patternFill>
    </fill>
    <fill>
      <patternFill patternType="none"/>
    </fill>
    <fill>
      <patternFill patternType="none"/>
    </fill>
    <fill>
      <patternFill patternType="none"/>
    </fill>
    <fill>
      <patternFill patternType="solid">
        <fgColor rgb="FF1B5E83"/>
        <bgColor rgb="FF1B5E83"/>
      </patternFill>
    </fill>
    <fill>
      <patternFill patternType="solid">
        <fgColor rgb="FF1B5E83"/>
        <bgColor rgb="FF1B5E83"/>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none"/>
    </fill>
    <fill>
      <patternFill patternType="none"/>
    </fill>
    <fill>
      <patternFill patternType="none"/>
    </fill>
    <fill>
      <patternFill patternType="none"/>
    </fill>
  </fills>
  <borders count="4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diagonal/>
    </border>
    <border>
      <left/>
      <right/>
      <top/>
      <bottom/>
      <diagonal/>
    </border>
    <border>
      <left style="medium">
        <color rgb="FFFFFFFF"/>
      </left>
      <right/>
      <top style="medium">
        <color rgb="FFFFFFFF"/>
      </top>
      <bottom/>
      <diagonal/>
    </border>
    <border>
      <left/>
      <right/>
      <top style="medium">
        <color rgb="FFFFFFFF"/>
      </top>
      <bottom/>
      <diagonal/>
    </border>
    <border>
      <left/>
      <right style="medium">
        <color rgb="FFFFFFFF"/>
      </right>
      <top style="medium">
        <color rgb="FFFFFFFF"/>
      </top>
      <bottom/>
      <diagonal/>
    </border>
    <border>
      <left/>
      <right/>
      <top/>
      <bottom/>
      <diagonal/>
    </border>
    <border>
      <left/>
      <right/>
      <top/>
      <bottom/>
      <diagonal/>
    </border>
    <border>
      <left style="medium">
        <color rgb="FFFFFFFF"/>
      </left>
      <right/>
      <top/>
      <bottom/>
      <diagonal/>
    </border>
    <border>
      <left/>
      <right/>
      <top/>
      <bottom/>
      <diagonal/>
    </border>
    <border>
      <left/>
      <right style="medium">
        <color rgb="FFFFFFFF"/>
      </right>
      <top/>
      <bottom/>
      <diagonal/>
    </border>
    <border>
      <left style="medium">
        <color rgb="FFFFFFFF"/>
      </left>
      <right/>
      <top/>
      <bottom/>
      <diagonal/>
    </border>
    <border>
      <left style="medium">
        <color rgb="FFFFFFFF"/>
      </left>
      <right/>
      <top/>
      <bottom/>
      <diagonal/>
    </border>
    <border>
      <left style="medium">
        <color rgb="FFFFFFFF"/>
      </left>
      <right/>
      <top/>
      <bottom/>
      <diagonal/>
    </border>
    <border>
      <left style="medium">
        <color rgb="FFFFFFFF"/>
      </left>
      <right/>
      <top/>
      <bottom/>
      <diagonal/>
    </border>
    <border>
      <left/>
      <right/>
      <top/>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2">
    <xf numFmtId="0" fontId="0" fillId="0" borderId="0" xfId="0"/>
    <xf numFmtId="1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2" borderId="10" xfId="0" applyFont="1" applyFill="1" applyBorder="1"/>
    <xf numFmtId="0" fontId="4" fillId="3" borderId="11" xfId="0" applyFont="1" applyFill="1" applyBorder="1"/>
    <xf numFmtId="0" fontId="5" fillId="4" borderId="12" xfId="0" applyFont="1" applyFill="1" applyBorder="1"/>
    <xf numFmtId="0" fontId="6" fillId="5" borderId="13" xfId="0" applyFont="1" applyFill="1" applyBorder="1"/>
    <xf numFmtId="0" fontId="7" fillId="6" borderId="14" xfId="0" applyFont="1" applyFill="1" applyBorder="1"/>
    <xf numFmtId="0" fontId="8" fillId="7" borderId="15" xfId="0" applyFont="1" applyFill="1" applyBorder="1"/>
    <xf numFmtId="0" fontId="18" fillId="17" borderId="25" xfId="0" applyFont="1" applyFill="1" applyBorder="1"/>
    <xf numFmtId="0" fontId="19" fillId="18" borderId="26" xfId="0" applyFont="1" applyFill="1" applyBorder="1"/>
    <xf numFmtId="0" fontId="20" fillId="19" borderId="27" xfId="0" applyFont="1" applyFill="1" applyBorder="1"/>
    <xf numFmtId="0" fontId="21" fillId="20" borderId="28" xfId="0" applyFont="1" applyFill="1" applyBorder="1"/>
    <xf numFmtId="0" fontId="23" fillId="22" borderId="30" xfId="0" applyFont="1" applyFill="1" applyBorder="1"/>
    <xf numFmtId="167" fontId="24" fillId="23" borderId="31" xfId="0" applyNumberFormat="1" applyFont="1" applyFill="1" applyBorder="1"/>
    <xf numFmtId="168" fontId="25" fillId="24" borderId="32" xfId="0" applyNumberFormat="1" applyFont="1" applyFill="1" applyBorder="1"/>
    <xf numFmtId="169" fontId="26" fillId="25" borderId="33" xfId="0" applyNumberFormat="1" applyFont="1" applyFill="1" applyBorder="1"/>
    <xf numFmtId="3" fontId="32" fillId="31" borderId="39" xfId="0" applyNumberFormat="1" applyFont="1" applyFill="1" applyBorder="1"/>
    <xf numFmtId="170" fontId="33" fillId="32" borderId="40" xfId="0" applyNumberFormat="1" applyFont="1" applyFill="1" applyBorder="1"/>
    <xf numFmtId="9" fontId="34" fillId="33" borderId="41" xfId="0" applyNumberFormat="1" applyFont="1" applyFill="1" applyBorder="1"/>
    <xf numFmtId="171" fontId="35" fillId="34" borderId="42" xfId="0" applyNumberFormat="1" applyFont="1" applyFill="1" applyBorder="1"/>
    <xf numFmtId="0" fontId="17" fillId="16" borderId="24" xfId="0" applyFont="1" applyFill="1" applyBorder="1" applyAlignment="1">
      <alignment horizontal="center" vertical="center"/>
    </xf>
    <xf numFmtId="0" fontId="0" fillId="0" borderId="0" xfId="0"/>
    <xf numFmtId="1" fontId="27" fillId="26" borderId="34" xfId="0" applyNumberFormat="1" applyFont="1" applyFill="1" applyBorder="1" applyAlignment="1">
      <alignment horizontal="center" vertical="center"/>
    </xf>
    <xf numFmtId="0" fontId="3" fillId="2" borderId="10" xfId="0" applyFont="1" applyFill="1" applyBorder="1"/>
    <xf numFmtId="9" fontId="29" fillId="28" borderId="36" xfId="0" applyNumberFormat="1" applyFont="1" applyFill="1" applyBorder="1" applyAlignment="1">
      <alignment horizontal="center" vertical="center"/>
    </xf>
    <xf numFmtId="165" fontId="13" fillId="12" borderId="20" xfId="0" applyNumberFormat="1" applyFont="1" applyFill="1" applyBorder="1" applyAlignment="1">
      <alignment horizontal="left" vertical="center" indent="1"/>
    </xf>
    <xf numFmtId="0" fontId="11" fillId="10" borderId="18" xfId="0" applyFont="1" applyFill="1" applyBorder="1"/>
    <xf numFmtId="0" fontId="12" fillId="11" borderId="19" xfId="0" applyFont="1" applyFill="1" applyBorder="1"/>
    <xf numFmtId="0" fontId="16" fillId="15" borderId="23" xfId="0" applyFont="1" applyFill="1" applyBorder="1"/>
    <xf numFmtId="0" fontId="10" fillId="9" borderId="17" xfId="0" applyFont="1" applyFill="1" applyBorder="1" applyAlignment="1">
      <alignment horizontal="left" vertical="center" indent="1"/>
    </xf>
    <xf numFmtId="3" fontId="15" fillId="14" borderId="22" xfId="0" applyNumberFormat="1" applyFont="1" applyFill="1" applyBorder="1" applyAlignment="1">
      <alignment horizontal="left" vertical="center" indent="1"/>
    </xf>
    <xf numFmtId="0" fontId="28" fillId="27" borderId="35" xfId="0" applyFont="1" applyFill="1" applyBorder="1" applyAlignment="1">
      <alignment horizontal="center" vertical="center"/>
    </xf>
    <xf numFmtId="0" fontId="9" fillId="8" borderId="16" xfId="0" applyFont="1" applyFill="1" applyBorder="1" applyAlignment="1">
      <alignment horizontal="center" vertical="center"/>
    </xf>
    <xf numFmtId="0" fontId="22" fillId="21" borderId="29" xfId="0" applyFont="1" applyFill="1" applyBorder="1" applyAlignment="1">
      <alignment horizontal="left" vertical="center" indent="1"/>
    </xf>
    <xf numFmtId="0" fontId="31" fillId="30" borderId="38" xfId="0" applyFont="1" applyFill="1" applyBorder="1" applyAlignment="1">
      <alignment horizontal="left" vertical="top" wrapText="1" indent="1"/>
    </xf>
    <xf numFmtId="0" fontId="30" fillId="29" borderId="37" xfId="0" applyFont="1" applyFill="1" applyBorder="1" applyAlignment="1">
      <alignment horizontal="center" vertical="center"/>
    </xf>
    <xf numFmtId="166" fontId="14" fillId="13" borderId="21" xfId="0" applyNumberFormat="1" applyFont="1" applyFill="1" applyBorder="1" applyAlignment="1">
      <alignment horizontal="left" vertical="center" inden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Target achievement (%)</a:t>
            </a:r>
          </a:p>
        </c:rich>
      </c:tx>
      <c:overlay val="1"/>
    </c:title>
    <c:autoTitleDeleted val="0"/>
    <c:plotArea>
      <c:layout/>
      <c:doughnutChart>
        <c:varyColors val="1"/>
        <c:ser>
          <c:idx val="0"/>
          <c:order val="0"/>
          <c:spPr>
            <a:ln>
              <a:prstDash val="solid"/>
            </a:ln>
          </c:spPr>
          <c:dPt>
            <c:idx val="0"/>
            <c:bubble3D val="0"/>
            <c:explosion val="8"/>
            <c:spPr>
              <a:solidFill>
                <a:srgbClr val="1B5E83"/>
              </a:solidFill>
              <a:ln>
                <a:solidFill>
                  <a:srgbClr val="FFFFFF"/>
                </a:solidFill>
                <a:prstDash val="solid"/>
              </a:ln>
            </c:spPr>
            <c:extLst>
              <c:ext xmlns:c16="http://schemas.microsoft.com/office/drawing/2014/chart" uri="{C3380CC4-5D6E-409C-BE32-E72D297353CC}">
                <c16:uniqueId val="{00000001-DB7D-4AB4-8C23-EFCFC040935F}"/>
              </c:ext>
            </c:extLst>
          </c:dPt>
          <c:dPt>
            <c:idx val="1"/>
            <c:bubble3D val="0"/>
            <c:spPr>
              <a:solidFill>
                <a:srgbClr val="E0E0E0"/>
              </a:solidFill>
              <a:ln>
                <a:solidFill>
                  <a:srgbClr val="FFFFFF"/>
                </a:solidFill>
                <a:prstDash val="solid"/>
              </a:ln>
            </c:spPr>
            <c:extLst>
              <c:ext xmlns:c16="http://schemas.microsoft.com/office/drawing/2014/chart" uri="{C3380CC4-5D6E-409C-BE32-E72D297353CC}">
                <c16:uniqueId val="{00000003-DB7D-4AB4-8C23-EFCFC040935F}"/>
              </c:ext>
            </c:extLst>
          </c:dPt>
          <c:cat>
            <c:strRef>
              <c:f>'Helper Tables'!$C$29:$C$30</c:f>
              <c:strCache>
                <c:ptCount val="2"/>
                <c:pt idx="0">
                  <c:v>Reached</c:v>
                </c:pt>
                <c:pt idx="1">
                  <c:v>Remaining</c:v>
                </c:pt>
              </c:strCache>
            </c:strRef>
          </c:cat>
          <c:val>
            <c:numRef>
              <c:f>'Helper Tables'!$D$29:$D$30</c:f>
              <c:numCache>
                <c:formatCode>0%</c:formatCode>
                <c:ptCount val="2"/>
                <c:pt idx="0">
                  <c:v>1</c:v>
                </c:pt>
                <c:pt idx="1">
                  <c:v>0</c:v>
                </c:pt>
              </c:numCache>
            </c:numRef>
          </c:val>
          <c:extLst>
            <c:ext xmlns:c16="http://schemas.microsoft.com/office/drawing/2014/chart" uri="{C3380CC4-5D6E-409C-BE32-E72D297353CC}">
              <c16:uniqueId val="{00000004-DB7D-4AB4-8C23-EFCFC040935F}"/>
            </c:ext>
          </c:extLst>
        </c:ser>
        <c:dLbls>
          <c:showLegendKey val="0"/>
          <c:showVal val="0"/>
          <c:showCatName val="0"/>
          <c:showSerName val="0"/>
          <c:showPercent val="0"/>
          <c:showBubbleSize val="0"/>
          <c:showLeaderLines val="1"/>
        </c:dLbls>
        <c:firstSliceAng val="0"/>
        <c:holeSize val="72"/>
      </c:doughnutChart>
      <c:spPr>
        <a:noFill/>
        <a:ln>
          <a:prstDash val="solid"/>
        </a:ln>
      </c:spPr>
    </c:plotArea>
    <c:plotVisOnly val="1"/>
    <c:dispBlanksAs val="gap"/>
    <c:showDLblsOverMax val="1"/>
  </c:chart>
  <c:spPr>
    <a:no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revenue vs target</a:t>
            </a:r>
          </a:p>
        </c:rich>
      </c:tx>
      <c:overlay val="1"/>
    </c:title>
    <c:autoTitleDeleted val="0"/>
    <c:plotArea>
      <c:layout>
        <c:manualLayout>
          <c:layoutTarget val="inner"/>
          <c:xMode val="edge"/>
          <c:yMode val="edge"/>
          <c:x val="2.3954046639231823E-2"/>
          <c:y val="4.0847953216374272E-2"/>
          <c:w val="0.92596021947873797"/>
          <c:h val="0.85498362573099407"/>
        </c:manualLayout>
      </c:layout>
      <c:barChart>
        <c:barDir val="col"/>
        <c:grouping val="clustered"/>
        <c:varyColors val="1"/>
        <c:ser>
          <c:idx val="0"/>
          <c:order val="0"/>
          <c:tx>
            <c:strRef>
              <c:f>'Helper Tables'!$E$9</c:f>
              <c:strCache>
                <c:ptCount val="1"/>
                <c:pt idx="0">
                  <c:v>Target</c:v>
                </c:pt>
              </c:strCache>
            </c:strRef>
          </c:tx>
          <c:spPr>
            <a:solidFill>
              <a:srgbClr val="D9D9D9"/>
            </a:solidFill>
            <a:ln>
              <a:noFill/>
              <a:prstDash val="solid"/>
            </a:ln>
          </c:spPr>
          <c:invertIfNegative val="1"/>
          <c:cat>
            <c:strRef>
              <c:f>'Helper Tables'!$D$10:$D$21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Tables'!$E$10:$E$21</c:f>
              <c:numCache>
                <c:formatCode>#,##0,"k"</c:formatCode>
                <c:ptCount val="12"/>
                <c:pt idx="0">
                  <c:v>10536000.0</c:v>
                </c:pt>
                <c:pt idx="1">
                  <c:v>9005000.0</c:v>
                </c:pt>
                <c:pt idx="2">
                  <c:v>8673000.0</c:v>
                </c:pt>
                <c:pt idx="3">
                  <c:v>8307000.0</c:v>
                </c:pt>
                <c:pt idx="4">
                  <c:v>9652000.0</c:v>
                </c:pt>
                <c:pt idx="5">
                  <c:v>10158000.0</c:v>
                </c:pt>
                <c:pt idx="6">
                  <c:v>8373000.0</c:v>
                </c:pt>
                <c:pt idx="7">
                  <c:v>11163000.0</c:v>
                </c:pt>
                <c:pt idx="8">
                  <c:v>11051000.0</c:v>
                </c:pt>
                <c:pt idx="9">
                  <c:v>10054000.0</c:v>
                </c:pt>
                <c:pt idx="10">
                  <c:v>0.0</c:v>
                </c:pt>
                <c:pt idx="11">
                  <c:v>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0C05-45F2-ADDC-5111DDC9DF84}"/>
            </c:ext>
          </c:extLst>
        </c:ser>
        <c:dLbls>
          <c:showLegendKey val="0"/>
          <c:showVal val="0"/>
          <c:showCatName val="0"/>
          <c:showSerName val="0"/>
          <c:showPercent val="0"/>
          <c:showBubbleSize val="0"/>
        </c:dLbls>
        <c:gapWidth val="25"/>
        <c:axId val="10"/>
        <c:axId val="100"/>
      </c:barChart>
      <c:lineChart>
        <c:grouping val="standard"/>
        <c:varyColors val="1"/>
        <c:ser>
          <c:idx val="1"/>
          <c:order val="1"/>
          <c:tx>
            <c:strRef>
              <c:f>'Helper Tables'!$J$9</c:f>
              <c:strCache>
                <c:ptCount val="1"/>
                <c:pt idx="0">
                  <c:v>Revenue</c:v>
                </c:pt>
              </c:strCache>
            </c:strRef>
          </c:tx>
          <c:spPr>
            <a:ln w="25000">
              <a:solidFill>
                <a:srgbClr val="1B5E83"/>
              </a:solidFill>
              <a:prstDash val="solid"/>
            </a:ln>
          </c:spPr>
          <c:marker>
            <c:symbol val="circle"/>
            <c:size val="6"/>
            <c:spPr>
              <a:solidFill>
                <a:srgbClr val="1B5E83"/>
              </a:solidFill>
              <a:ln>
                <a:solidFill>
                  <a:srgbClr val="1B5E83"/>
                </a:solidFill>
                <a:prstDash val="solid"/>
              </a:ln>
            </c:spPr>
          </c:marker>
          <c:dLbls>
            <c:spPr>
              <a:noFill/>
              <a:ln>
                <a:noFill/>
              </a:ln>
              <a:effectLst/>
            </c:sp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'Helper Tables'!$D$10:$D$21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Tables'!$J$10:$J$21</c:f>
              <c:numCache>
                <c:formatCode>#,##0,"k"</c:formatCode>
                <c:ptCount val="12"/>
                <c:pt idx="0">
                  <c:v>11000700.0</c:v>
                </c:pt>
                <c:pt idx="1">
                  <c:v>9660300.0</c:v>
                </c:pt>
                <c:pt idx="2">
                  <c:v>9313200.0</c:v>
                </c:pt>
                <c:pt idx="3">
                  <c:v>8479500.0</c:v>
                </c:pt>
                <c:pt idx="4">
                  <c:v>9746200.0</c:v>
                </c:pt>
                <c:pt idx="5">
                  <c:v>10017300.0</c:v>
                </c:pt>
                <c:pt idx="6">
                  <c:v>8746500.0</c:v>
                </c:pt>
                <c:pt idx="7">
                  <c:v>11131900.0</c:v>
                </c:pt>
                <c:pt idx="8">
                  <c:v>11360800.0</c:v>
                </c:pt>
                <c:pt idx="9">
                  <c:v>9535700.0</c:v>
                </c:pt>
              </c:numCache>
            </c:numRef>
          </c:val>
          <c:smooth val="0"/>
          <c:extLst>
            <c:ext xmlns:c16="http://schemas.microsoft.com/office/drawing/2014/chart" uri="{C3380CC4-5D6E-409C-BE32-E72D297353CC}">
              <c16:uniqueId val="{00000001-0C05-45F2-ADDC-5111DDC9DF8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0,&quot;k&quot;" sourceLinked="1"/>
        <c:majorTickMark val="none"/>
        <c:minorTickMark val="none"/>
        <c:tickLblPos val="nextTo"/>
        <c:crossAx val="10"/>
        <c:crosses val="autoZero"/>
        <c:crossBetween val="between"/>
      </c:valAx>
      <c:spPr>
        <a:noFill/>
        <a:ln>
          <a:prstDash val="solid"/>
        </a:ln>
      </c:spPr>
    </c:plotArea>
    <c:legend>
      <c:legendPos val="t"/>
      <c:layout>
        <c:manualLayout>
          <c:xMode val="edge"/>
          <c:yMode val="edge"/>
          <c:x val="0.14126371742112484"/>
          <c:y val="7.7982456140350875E-2"/>
          <c:w val="0.28629972565157752"/>
          <c:h val="6.7150000000000001E-2"/>
        </c:manualLayout>
      </c:layout>
      <c:overlay val="1"/>
    </c:legend>
    <c:plotVisOnly val="1"/>
    <c:dispBlanksAs val="gap"/>
    <c:showDLblsOverMax val="1"/>
  </c:chart>
  <c:spPr>
    <a:no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Achievement by region</a:t>
            </a:r>
          </a:p>
        </c:rich>
      </c:tx>
      <c:overlay val="1"/>
    </c:title>
    <c:autoTitleDeleted val="0"/>
    <c:plotArea>
      <c:layout/>
      <c:barChart>
        <c:barDir val="bar"/>
        <c:grouping val="clustered"/>
        <c:varyColors val="1"/>
        <c:ser>
          <c:idx val="0"/>
          <c:order val="0"/>
          <c:tx>
            <c:strRef>
              <c:f>'Helper Tables'!$F$32</c:f>
              <c:strCache>
                <c:ptCount val="1"/>
                <c:pt idx="0">
                  <c:v>Achievement</c:v>
                </c:pt>
              </c:strCache>
            </c:strRef>
          </c:tx>
          <c:spPr>
            <a:solidFill>
              <a:srgbClr val="1B5E83"/>
            </a:solidFill>
            <a:ln>
              <a:prstDash val="solid"/>
            </a:ln>
          </c:spPr>
          <c:invertIfNegative val="1"/>
          <c:dLbls>
            <c:spPr>
              <a:noFill/>
              <a:ln>
                <a:noFill/>
              </a:ln>
              <a:effectLst/>
            </c:sp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'Helper Tables'!$C$33:$C$36</c:f>
              <c:strCache>
                <c:ptCount val="4"/>
                <c:pt idx="0">
                  <c:v>East</c:v>
                </c:pt>
                <c:pt idx="1">
                  <c:v>North</c:v>
                </c:pt>
                <c:pt idx="2">
                  <c:v>South</c:v>
                </c:pt>
                <c:pt idx="3">
                  <c:v>West</c:v>
                </c:pt>
              </c:strCache>
            </c:strRef>
          </c:cat>
          <c:val>
            <c:numRef>
              <c:f>'Helper Tables'!$F$33:$F$36</c:f>
              <c:numCache>
                <c:formatCode>0%</c:formatCode>
                <c:ptCount val="4"/>
                <c:pt idx="0">
                  <c:v>1.0164149824353301</c:v>
                </c:pt>
                <c:pt idx="1">
                  <c:v>1.0516995762329817</c:v>
                </c:pt>
                <c:pt idx="2">
                  <c:v>1.0147328612809785</c:v>
                </c:pt>
                <c:pt idx="3">
                  <c:v>1.0052578975548814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E8D-4251-8079-3F945076E777}"/>
            </c:ext>
          </c:extLst>
        </c:ser>
        <c:dLbls>
          <c:showLegendKey val="0"/>
          <c:showVal val="0"/>
          <c:showCatName val="0"/>
          <c:showSerName val="0"/>
          <c:showPercent val="0"/>
          <c:showBubbleSize val="0"/>
        </c:dLbls>
        <c:gapWidth val="6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1.4"/>
          <c:min val="0"/>
        </c:scaling>
        <c:delete val="1"/>
        <c:axPos val="b"/>
        <c:numFmt formatCode="0%" sourceLinked="1"/>
        <c:majorTickMark val="none"/>
        <c:minorTickMark val="none"/>
        <c:tickLblPos val="nextTo"/>
        <c:crossAx val="10"/>
        <c:crosses val="autoZero"/>
        <c:crossBetween val="between"/>
      </c:valAx>
      <c:spPr>
        <a:noFill/>
        <a:ln>
          <a:prstDash val="solid"/>
        </a:ln>
      </c:spPr>
    </c:plotArea>
    <c:plotVisOnly val="1"/>
    <c:dispBlanksAs val="gap"/>
    <c:showDLblsOverMax val="1"/>
  </c:chart>
  <c:spPr>
    <a:no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delta (revenue vs target)</a:t>
            </a:r>
          </a:p>
        </c:rich>
      </c:tx>
      <c:overlay val="1"/>
    </c:title>
    <c:autoTitleDeleted val="0"/>
    <c:plotArea>
      <c:layout>
        <c:manualLayout>
          <c:layoutTarget val="inner"/>
          <c:xMode val="edge"/>
          <c:yMode val="edge"/>
          <c:x val="2.2172083299739267E-2"/>
          <c:y val="8.7961956107676514E-2"/>
          <c:w val="0.85487363658352478"/>
          <c:h val="0.8018584214222686"/>
        </c:manualLayout>
      </c:layout>
      <c:barChart>
        <c:barDir val="col"/>
        <c:grouping val="clustered"/>
        <c:varyColors val="1"/>
        <c:ser>
          <c:idx val="0"/>
          <c:order val="0"/>
          <c:tx>
            <c:strRef>
              <c:f>'Helper Tables'!$H$9</c:f>
              <c:strCache>
                <c:ptCount val="1"/>
                <c:pt idx="0">
                  <c:v>Delta +</c:v>
                </c:pt>
              </c:strCache>
            </c:strRef>
          </c:tx>
          <c:spPr>
            <a:solidFill>
              <a:srgbClr val="1B5E83"/>
            </a:solidFill>
            <a:ln>
              <a:noFill/>
              <a:prstDash val="solid"/>
            </a:ln>
          </c:spPr>
          <c:invertIfNegative val="1"/>
          <c:dLbls>
            <c:spPr>
              <a:noFill/>
              <a:ln>
                <a:noFill/>
              </a:ln>
              <a:effectLst/>
            </c:sp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'Helper Tables'!$D$10:$D$21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Tables'!$H$10:$H$21</c:f>
              <c:numCache>
                <c:formatCode>#,##0,"k";\-#,##0,"k";;</c:formatCode>
                <c:ptCount val="12"/>
                <c:pt idx="0">
                  <c:v>464700.0</c:v>
                </c:pt>
                <c:pt idx="1">
                  <c:v>655300.0</c:v>
                </c:pt>
                <c:pt idx="2">
                  <c:v>640200.0</c:v>
                </c:pt>
                <c:pt idx="3">
                  <c:v>172500.0</c:v>
                </c:pt>
                <c:pt idx="4">
                  <c:v>94200.0</c:v>
                </c:pt>
                <c:pt idx="5">
                  <c:v>0</c:v>
                </c:pt>
                <c:pt idx="6">
                  <c:v>373500.0</c:v>
                </c:pt>
                <c:pt idx="7">
                  <c:v>0</c:v>
                </c:pt>
                <c:pt idx="8">
                  <c:v>309800.0</c:v>
                </c:pt>
                <c:pt idx="9">
                  <c:v>0</c:v>
                </c:pt>
                <c:pt idx="10">
                  <c:v>0.0</c:v>
                </c:pt>
                <c:pt idx="11">
                  <c:v>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EADA-4B1D-ABBA-4055A269122F}"/>
            </c:ext>
          </c:extLst>
        </c:ser>
        <c:ser>
          <c:idx val="1"/>
          <c:order val="1"/>
          <c:tx>
            <c:strRef>
              <c:f>'Helper Tables'!$I$9</c:f>
              <c:strCache>
                <c:ptCount val="1"/>
                <c:pt idx="0">
                  <c:v>Delta -</c:v>
                </c:pt>
              </c:strCache>
            </c:strRef>
          </c:tx>
          <c:spPr>
            <a:solidFill>
              <a:srgbClr val="AFABAB"/>
            </a:solidFill>
            <a:ln>
              <a:noFill/>
              <a:prstDash val="solid"/>
            </a:ln>
          </c:spPr>
          <c:invertIfNegative val="1"/>
          <c:dLbls>
            <c:spPr>
              <a:noFill/>
              <a:ln>
                <a:noFill/>
              </a:ln>
              <a:effectLst/>
            </c:sp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'Helper Tables'!$D$10:$D$21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Tables'!$I$10:$I$21</c:f>
              <c:numCache>
                <c:formatCode>#,##0,"k";\-#,##0,"k";;</c:formatCode>
                <c:ptCount val="12"/>
                <c:pt idx="0">
                  <c:v>0</c:v>
                </c:pt>
                <c:pt idx="1">
                  <c:v>0</c:v>
                </c:pt>
                <c:pt idx="2">
                  <c:v>0</c:v>
                </c:pt>
                <c:pt idx="3">
                  <c:v>0</c:v>
                </c:pt>
                <c:pt idx="4">
                  <c:v>0</c:v>
                </c:pt>
                <c:pt idx="5">
                  <c:v>-140700.0</c:v>
                </c:pt>
                <c:pt idx="6">
                  <c:v>0</c:v>
                </c:pt>
                <c:pt idx="7">
                  <c:v>-31100.0</c:v>
                </c:pt>
                <c:pt idx="8">
                  <c:v>0</c:v>
                </c:pt>
                <c:pt idx="9">
                  <c:v>-518300.0</c:v>
                </c:pt>
                <c:pt idx="10">
                  <c:v>0.0</c:v>
                </c:pt>
                <c:pt idx="11">
                  <c:v>0.0</c:v>
                </c:pt>
              </c:numCache>
            </c:numRef>
          </c:val>
          <c:extLst>
            <c:ext xmlns:c14="http://schemas.microsoft.com/office/drawing/2007/8/2/chart" uri="{6F2FDCE9-48DA-4B69-8628-5D25D57E5C99}">
              <c14:invertSolidFillFmt>
                <c14:spPr xmlns:c14="http://schemas.microsoft.com/office/drawing/2007/8/2/chart">
                  <a:solidFill>
                    <a:srgbClr val="8FAADC"/>
                  </a:solidFill>
                  <a:ln>
                    <a:noFill/>
                    <a:prstDash val="solid"/>
                  </a:ln>
                </c14:spPr>
              </c14:invertSolidFillFmt>
            </c:ext>
            <c:ext xmlns:c16="http://schemas.microsoft.com/office/drawing/2014/chart" uri="{C3380CC4-5D6E-409C-BE32-E72D297353CC}">
              <c16:uniqueId val="{00000001-EADA-4B1D-ABBA-4055A269122F}"/>
            </c:ext>
          </c:extLst>
        </c:ser>
        <c:dLbls>
          <c:showLegendKey val="0"/>
          <c:showVal val="0"/>
          <c:showCatName val="0"/>
          <c:showSerName val="0"/>
          <c:showPercent val="0"/>
          <c:showBubbleSize val="0"/>
        </c:dLbls>
        <c:gapWidth val="40"/>
        <c:overlap val="100"/>
        <c:axId val="10"/>
        <c:axId val="100"/>
      </c:bar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1"/>
        <c:axPos val="l"/>
        <c:numFmt formatCode="#,##0,&quot;k&quot;;\-#,##0,&quot;k&quot;;;" sourceLinked="1"/>
        <c:majorTickMark val="none"/>
        <c:minorTickMark val="none"/>
        <c:tickLblPos val="nextTo"/>
        <c:crossAx val="10"/>
        <c:crosses val="autoZero"/>
        <c:crossBetween val="between"/>
      </c:valAx>
      <c:spPr>
        <a:noFill/>
        <a:ln>
          <a:prstDash val="solid"/>
        </a:ln>
      </c:spPr>
    </c:plotArea>
    <c:plotVisOnly val="1"/>
    <c:dispBlanksAs val="gap"/>
    <c:showDLblsOverMax val="1"/>
  </c:chart>
  <c:spPr>
    <a:no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Target vs revenue by salesperson</a:t>
            </a:r>
          </a:p>
        </c:rich>
      </c:tx>
      <c:overlay val="1"/>
    </c:title>
    <c:autoTitleDeleted val="0"/>
    <c:plotArea>
      <c:layout/>
      <c:barChart>
        <c:barDir val="col"/>
        <c:grouping val="clustered"/>
        <c:varyColors val="1"/>
        <c:ser>
          <c:idx val="0"/>
          <c:order val="0"/>
          <c:tx>
            <c:strRef>
              <c:f>'Helper Tables'!$E$39</c:f>
              <c:strCache>
                <c:ptCount val="1"/>
                <c:pt idx="0">
                  <c:v>Target</c:v>
                </c:pt>
              </c:strCache>
            </c:strRef>
          </c:tx>
          <c:spPr>
            <a:solidFill>
              <a:srgbClr val="D9D9D9"/>
            </a:solidFill>
            <a:ln>
              <a:noFill/>
              <a:prstDash val="solid"/>
            </a:ln>
          </c:spPr>
          <c:invertIfNegative val="1"/>
          <c:cat>
            <c:strRef>
              <c:f>'Helper Tables'!$C$40:$C$47</c:f>
              <c:strCache>
                <c:ptCount val="8"/>
                <c:pt idx="0">
                  <c:v>Salesperson 02</c:v>
                </c:pt>
                <c:pt idx="1">
                  <c:v>Salesperson 06</c:v>
                </c:pt>
                <c:pt idx="2">
                  <c:v>Salesperson 04</c:v>
                </c:pt>
                <c:pt idx="3">
                  <c:v>Salesperson 05</c:v>
                </c:pt>
                <c:pt idx="4">
                  <c:v>Salesperson 07</c:v>
                </c:pt>
                <c:pt idx="5">
                  <c:v>Salesperson 03</c:v>
                </c:pt>
                <c:pt idx="6">
                  <c:v>Salesperson 08</c:v>
                </c:pt>
                <c:pt idx="7">
                  <c:v>Salesperson 01</c:v>
                </c:pt>
              </c:strCache>
            </c:strRef>
          </c:cat>
          <c:val>
            <c:numRef>
              <c:f>'Helper Tables'!$E$40:$E$47</c:f>
              <c:numCache>
                <c:formatCode>#,##0,"k"</c:formatCode>
                <c:ptCount val="8"/>
                <c:pt idx="0">
                  <c:v>12927000.0</c:v>
                </c:pt>
                <c:pt idx="1">
                  <c:v>10889000.0</c:v>
                </c:pt>
                <c:pt idx="2">
                  <c:v>11929000.0</c:v>
                </c:pt>
                <c:pt idx="3">
                  <c:v>14080000.0</c:v>
                </c:pt>
                <c:pt idx="4">
                  <c:v>11293000.0</c:v>
                </c:pt>
                <c:pt idx="5">
                  <c:v>11819000.0</c:v>
                </c:pt>
                <c:pt idx="6">
                  <c:v>13935000.0</c:v>
                </c:pt>
                <c:pt idx="7">
                  <c:v>10100000.0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63D4-4864-A32D-7B572BEFDB6D}"/>
            </c:ext>
          </c:extLst>
        </c:ser>
        <c:ser>
          <c:idx val="1"/>
          <c:order val="1"/>
          <c:tx>
            <c:strRef>
              <c:f>'Helper Tables'!$F$39</c:f>
              <c:strCache>
                <c:ptCount val="1"/>
                <c:pt idx="0">
                  <c:v>Revenue</c:v>
                </c:pt>
              </c:strCache>
            </c:strRef>
          </c:tx>
          <c:spPr>
            <a:solidFill>
              <a:srgbClr val="1B5E83"/>
            </a:solidFill>
            <a:ln>
              <a:noFill/>
              <a:prstDash val="solid"/>
            </a:ln>
          </c:spPr>
          <c:invertIfNegative val="1"/>
          <c:dLbls>
            <c:spPr>
              <a:noFill/>
              <a:ln>
                <a:noFill/>
              </a:ln>
              <a:effectLst/>
            </c:sp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'Helper Tables'!$C$40:$C$47</c:f>
              <c:strCache>
                <c:ptCount val="8"/>
                <c:pt idx="0">
                  <c:v>Salesperson 02</c:v>
                </c:pt>
                <c:pt idx="1">
                  <c:v>Salesperson 06</c:v>
                </c:pt>
                <c:pt idx="2">
                  <c:v>Salesperson 04</c:v>
                </c:pt>
                <c:pt idx="3">
                  <c:v>Salesperson 05</c:v>
                </c:pt>
                <c:pt idx="4">
                  <c:v>Salesperson 07</c:v>
                </c:pt>
                <c:pt idx="5">
                  <c:v>Salesperson 03</c:v>
                </c:pt>
                <c:pt idx="6">
                  <c:v>Salesperson 08</c:v>
                </c:pt>
                <c:pt idx="7">
                  <c:v>Salesperson 01</c:v>
                </c:pt>
              </c:strCache>
            </c:strRef>
          </c:cat>
          <c:val>
            <c:numRef>
              <c:f>'Helper Tables'!$F$40:$F$47</c:f>
              <c:numCache>
                <c:formatCode>#,##0,"k"</c:formatCode>
                <c:ptCount val="8"/>
                <c:pt idx="0">
                  <c:v>13075700.0</c:v>
                </c:pt>
                <c:pt idx="1">
                  <c:v>11962100.0</c:v>
                </c:pt>
                <c:pt idx="2">
                  <c:v>12146500.0</c:v>
                </c:pt>
                <c:pt idx="3">
                  <c:v>14145700.0</c:v>
                </c:pt>
                <c:pt idx="4">
                  <c:v>11366700.0</c:v>
                </c:pt>
                <c:pt idx="5">
                  <c:v>11831100.0</c:v>
                </c:pt>
                <c:pt idx="6">
                  <c:v>14016600.0</c:v>
                </c:pt>
                <c:pt idx="7">
                  <c:v>10447700.0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63D4-4864-A32D-7B572BEFDB6D}"/>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0,&quot;k&quot;" sourceLinked="1"/>
        <c:majorTickMark val="none"/>
        <c:minorTickMark val="none"/>
        <c:tickLblPos val="nextTo"/>
        <c:crossAx val="10"/>
        <c:crosses val="autoZero"/>
        <c:crossBetween val="between"/>
      </c:valAx>
      <c:spPr>
        <a:noFill/>
        <a:ln>
          <a:prstDash val="solid"/>
        </a:ln>
      </c:spPr>
    </c:plotArea>
    <c:legend>
      <c:legendPos val="t"/>
      <c:layout>
        <c:manualLayout>
          <c:xMode val="edge"/>
          <c:yMode val="edge"/>
          <c:x val="0.73436522542457405"/>
          <c:y val="5.4876543209876547E-2"/>
          <c:w val="0.18227193331499619"/>
          <c:h val="7.0880555555555558E-2"/>
        </c:manualLayout>
      </c:layout>
      <c:overlay val="1"/>
    </c:legend>
    <c:plotVisOnly val="1"/>
    <c:dispBlanksAs val="gap"/>
    <c:showDLblsOverMax val="1"/>
  </c:chart>
  <c:spPr>
    <a:no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8 products by revenue</a:t>
            </a:r>
          </a:p>
        </c:rich>
      </c:tx>
      <c:layout>
        <c:manualLayout>
          <c:xMode val="edge"/>
          <c:yMode val="edge"/>
          <c:x val="0.35117455418381344"/>
          <c:y val="4.6671158204201632E-2"/>
        </c:manualLayout>
      </c:layout>
      <c:overlay val="1"/>
    </c:title>
    <c:autoTitleDeleted val="0"/>
    <c:plotArea>
      <c:layout>
        <c:manualLayout>
          <c:layoutTarget val="inner"/>
          <c:xMode val="edge"/>
          <c:yMode val="edge"/>
          <c:x val="0.15461488340192045"/>
          <c:y val="0.10501010595945366"/>
          <c:w val="0.82143106995884774"/>
          <c:h val="0.8522079990200282"/>
        </c:manualLayout>
      </c:layout>
      <c:barChart>
        <c:barDir val="bar"/>
        <c:grouping val="clustered"/>
        <c:varyColors val="1"/>
        <c:ser>
          <c:idx val="0"/>
          <c:order val="0"/>
          <c:tx>
            <c:strRef>
              <c:f>'Helper Tables'!$D$65</c:f>
              <c:strCache>
                <c:ptCount val="1"/>
                <c:pt idx="0">
                  <c:v>Revenue</c:v>
                </c:pt>
              </c:strCache>
            </c:strRef>
          </c:tx>
          <c:spPr>
            <a:solidFill>
              <a:srgbClr val="1B5E83"/>
            </a:solidFill>
            <a:ln>
              <a:prstDash val="solid"/>
            </a:ln>
          </c:spPr>
          <c:invertIfNegative val="1"/>
          <c:dLbls>
            <c:spPr>
              <a:noFill/>
              <a:ln>
                <a:noFill/>
              </a:ln>
              <a:effectLst/>
            </c:sp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'Helper Tables'!$C$66:$C$73</c:f>
              <c:strCache>
                <c:ptCount val="8"/>
                <c:pt idx="0">
                  <c:v>Laptop</c:v>
                </c:pt>
                <c:pt idx="1">
                  <c:v>Smartphone</c:v>
                </c:pt>
                <c:pt idx="2">
                  <c:v>Tablet</c:v>
                </c:pt>
                <c:pt idx="3">
                  <c:v>Monitor</c:v>
                </c:pt>
                <c:pt idx="4">
                  <c:v>Printer</c:v>
                </c:pt>
                <c:pt idx="5">
                  <c:v>Smartwatch</c:v>
                </c:pt>
                <c:pt idx="6">
                  <c:v>Webcam</c:v>
                </c:pt>
                <c:pt idx="7">
                  <c:v>Headphones</c:v>
                </c:pt>
              </c:strCache>
            </c:strRef>
          </c:cat>
          <c:val>
            <c:numRef>
              <c:f>'Helper Tables'!$D$66:$D$73</c:f>
              <c:numCache>
                <c:formatCode>#,##0,"k"</c:formatCode>
                <c:ptCount val="8"/>
                <c:pt idx="0">
                  <c:v>39270000.0</c:v>
                </c:pt>
                <c:pt idx="1">
                  <c:v>18678000.0</c:v>
                </c:pt>
                <c:pt idx="2">
                  <c:v>12474000.0</c:v>
                </c:pt>
                <c:pt idx="3">
                  <c:v>8544000.0</c:v>
                </c:pt>
                <c:pt idx="4">
                  <c:v>6707000.0</c:v>
                </c:pt>
                <c:pt idx="5">
                  <c:v>4901000.0</c:v>
                </c:pt>
                <c:pt idx="6">
                  <c:v>2382000.0</c:v>
                </c:pt>
                <c:pt idx="7">
                  <c:v>1825000.0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42E-4EA9-B7B9-85F2967261B4}"/>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0,&quot;k&quot;" sourceLinked="1"/>
        <c:majorTickMark val="none"/>
        <c:minorTickMark val="none"/>
        <c:tickLblPos val="nextTo"/>
        <c:crossAx val="10"/>
        <c:crosses val="autoZero"/>
        <c:crossBetween val="between"/>
      </c:valAx>
      <c:spPr>
        <a:noFill/>
        <a:ln>
          <a:prstDash val="solid"/>
        </a:ln>
      </c:spPr>
    </c:plotArea>
    <c:plotVisOnly val="1"/>
    <c:dispBlanksAs val="gap"/>
    <c:showDLblsOverMax val="1"/>
  </c:chart>
  <c:spPr>
    <a:noFill/>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Daily revenue (selected month, or latest month when Month = All)</a:t>
            </a:r>
          </a:p>
        </c:rich>
      </c:tx>
      <c:overlay val="1"/>
    </c:title>
    <c:autoTitleDeleted val="0"/>
    <c:plotArea>
      <c:layout/>
      <c:lineChart>
        <c:grouping val="standard"/>
        <c:varyColors val="1"/>
        <c:ser>
          <c:idx val="0"/>
          <c:order val="0"/>
          <c:tx>
            <c:strRef>
              <c:f>'Helper Tables'!$D$76</c:f>
              <c:strCache>
                <c:ptCount val="1"/>
                <c:pt idx="0">
                  <c:v>Revenue</c:v>
                </c:pt>
              </c:strCache>
            </c:strRef>
          </c:tx>
          <c:spPr>
            <a:ln w="22000">
              <a:solidFill>
                <a:srgbClr val="1B5E83"/>
              </a:solidFill>
              <a:prstDash val="solid"/>
            </a:ln>
          </c:spPr>
          <c:marker>
            <c:symbol val="circle"/>
            <c:size val="5"/>
            <c:spPr>
              <a:solidFill>
                <a:srgbClr val="1B5E83"/>
              </a:solidFill>
              <a:ln>
                <a:solidFill>
                  <a:srgbClr val="1B5E83"/>
                </a:solidFill>
                <a:prstDash val="solid"/>
              </a:ln>
            </c:spPr>
          </c:marker>
          <c:cat>
            <c:numRef>
              <c:f>'Helper Tables'!$C$77:$C$107</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'Helper Tables'!$D$77:$D$107</c:f>
              <c:numCache>
                <c:formatCode>#,##0,"k"</c:formatCode>
                <c:ptCount val="31"/>
                <c:pt idx="0">
                  <c:v>138900.0</c:v>
                </c:pt>
                <c:pt idx="1">
                  <c:v>196500.0</c:v>
                </c:pt>
                <c:pt idx="2">
                  <c:v>481900.0</c:v>
                </c:pt>
                <c:pt idx="3">
                  <c:v>187400.0</c:v>
                </c:pt>
                <c:pt idx="4">
                  <c:v>289800.0</c:v>
                </c:pt>
                <c:pt idx="5">
                  <c:v>458200.0</c:v>
                </c:pt>
                <c:pt idx="6">
                  <c:v>280500.0</c:v>
                </c:pt>
                <c:pt idx="7">
                  <c:v>511500.0</c:v>
                </c:pt>
                <c:pt idx="8">
                  <c:v>142500.0</c:v>
                </c:pt>
                <c:pt idx="9">
                  <c:v>563600.0</c:v>
                </c:pt>
                <c:pt idx="10">
                  <c:v>100200.0</c:v>
                </c:pt>
                <c:pt idx="11">
                  <c:v>486200.0</c:v>
                </c:pt>
                <c:pt idx="12">
                  <c:v>513300.0</c:v>
                </c:pt>
                <c:pt idx="13">
                  <c:v>266400.0</c:v>
                </c:pt>
                <c:pt idx="14">
                  <c:v>185500.0</c:v>
                </c:pt>
                <c:pt idx="15">
                  <c:v>332200.0</c:v>
                </c:pt>
                <c:pt idx="16">
                  <c:v>107600.0</c:v>
                </c:pt>
                <c:pt idx="17">
                  <c:v>386500.0</c:v>
                </c:pt>
                <c:pt idx="18">
                  <c:v>409600.0</c:v>
                </c:pt>
                <c:pt idx="19">
                  <c:v>213700.0</c:v>
                </c:pt>
                <c:pt idx="20">
                  <c:v>143700.0</c:v>
                </c:pt>
                <c:pt idx="21">
                  <c:v>332500.0</c:v>
                </c:pt>
                <c:pt idx="22">
                  <c:v>232700.0</c:v>
                </c:pt>
                <c:pt idx="23">
                  <c:v>777100.0</c:v>
                </c:pt>
                <c:pt idx="24">
                  <c:v>81800.0</c:v>
                </c:pt>
                <c:pt idx="25">
                  <c:v>89900.0</c:v>
                </c:pt>
                <c:pt idx="26">
                  <c:v>268300.0</c:v>
                </c:pt>
                <c:pt idx="27">
                  <c:v>359000.0</c:v>
                </c:pt>
                <c:pt idx="28">
                  <c:v>100200.0</c:v>
                </c:pt>
                <c:pt idx="29">
                  <c:v>898500.0</c:v>
                </c:pt>
                <c:pt idx="30">
                  <c:v>0.0</c:v>
                </c:pt>
              </c:numCache>
            </c:numRef>
          </c:val>
          <c:smooth val="0"/>
          <c:extLst>
            <c:ext xmlns:c16="http://schemas.microsoft.com/office/drawing/2014/chart" uri="{C3380CC4-5D6E-409C-BE32-E72D297353CC}">
              <c16:uniqueId val="{00000000-B04A-461B-890B-A407568973EE}"/>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0,&quot;k&quot;" sourceLinked="1"/>
        <c:majorTickMark val="none"/>
        <c:minorTickMark val="none"/>
        <c:tickLblPos val="nextTo"/>
        <c:crossAx val="10"/>
        <c:crosses val="autoZero"/>
        <c:crossBetween val="between"/>
      </c:valAx>
      <c:spPr>
        <a:noFill/>
        <a:ln>
          <a:prstDash val="solid"/>
        </a:ln>
      </c:spPr>
    </c:plotArea>
    <c:plotVisOnly val="1"/>
    <c:dispBlanksAs val="gap"/>
    <c:showDLblsOverMax val="1"/>
  </c:chart>
  <c:spPr>
    <a:no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0</xdr:colOff>
      <xdr:row>8</xdr:row>
      <xdr:rowOff>169333</xdr:rowOff>
    </xdr:from>
    <xdr:ext cx="3888000" cy="3434111"/>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0</xdr:colOff>
      <xdr:row>9</xdr:row>
      <xdr:rowOff>0</xdr:rowOff>
    </xdr:from>
    <xdr:ext cx="5832000" cy="3420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0</xdr:colOff>
      <xdr:row>28</xdr:row>
      <xdr:rowOff>0</xdr:rowOff>
    </xdr:from>
    <xdr:ext cx="3888000" cy="2808000"/>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0</xdr:colOff>
      <xdr:row>27</xdr:row>
      <xdr:rowOff>102358</xdr:rowOff>
    </xdr:from>
    <xdr:ext cx="5754806" cy="2887612"/>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983999" cy="3240000"/>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13</xdr:col>
      <xdr:colOff>0</xdr:colOff>
      <xdr:row>47</xdr:row>
      <xdr:rowOff>14111</xdr:rowOff>
    </xdr:from>
    <xdr:ext cx="5566833" cy="3220244"/>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66</xdr:row>
      <xdr:rowOff>0</xdr:rowOff>
    </xdr:from>
    <xdr:ext cx="13536000" cy="3168000"/>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Date="46325.240780439817" backgroundQuery="1" createdVersion="8" refreshedVersion="8" minRefreshableVersion="3" recordCount="0" supportSubquery="1" supportAdvancedDrill="1" xr:uid="{2DF32931-5D62-470C-9D0C-80B820AE22AE}">
  <cacheSource type="external" connectionId="11"/>
  <cacheFields count="5">
    <cacheField name="[tb1Months].[month_label].[month_label]" caption="month_label" numFmtId="0" hierarchy="1" level="1">
      <sharedItems count="10">
        <s v="01 Jan"/>
        <s v="02 Feb"/>
        <s v="03 Mar"/>
        <s v="04 Apr"/>
        <s v="05 May"/>
        <s v="06 Jun"/>
        <s v="07 Jul"/>
        <s v="08 Aug"/>
        <s v="09 Sep"/>
        <s v="10 Oct"/>
      </sharedItems>
    </cacheField>
    <cacheField name="[Measures].[Revenue]" caption="Revenue" numFmtId="0" hierarchy="41" level="32767"/>
    <cacheField name="[Measures].[Target]" caption="Target" numFmtId="0" hierarchy="42" level="32767"/>
    <cacheField name="[Measures].[Delta]" caption="Delta" numFmtId="0" hierarchy="43" level="32767"/>
    <cacheField name="[Measures].[Achivement]" caption="Achievement" numFmtId="0" hierarchy="44" level="32767"/>
  </cacheFields>
  <cacheHierarchies count="54">
    <cacheHierarchy uniqueName="[tb1Months].[month_no]" caption="month_no" attribute="1" defaultMemberUniqueName="[tb1Months].[month_no].[All]" allUniqueName="[tb1Months].[month_no].[All]" dimensionUniqueName="[tb1Months]" displayFolder="" count="0" memberValueDatatype="20" unbalanced="0"/>
    <cacheHierarchy uniqueName="[tb1Months].[month_label]" caption="month_label" attribute="1" defaultMemberUniqueName="[tb1Months].[month_label].[All]" allUniqueName="[tb1Months].[month_label].[All]" dimensionUniqueName="[tb1Months]" displayFolder="" count="2" memberValueDatatype="130" unbalanced="0">
      <fieldsUsage count="2">
        <fieldUsage x="-1"/>
        <fieldUsage x="0"/>
      </fieldsUsage>
    </cacheHierarchy>
    <cacheHierarchy uniqueName="[tb1people].[salesperson]" caption="salesperson" attribute="1" defaultMemberUniqueName="[tb1people].[salesperson].[All]" allUniqueName="[tb1people].[salesperson].[All]" dimensionUniqueName="[tb1people]" displayFolder="" count="0" memberValueDatatype="130" unbalanced="0"/>
    <cacheHierarchy uniqueName="[tb1people].[region]" caption="region" attribute="1" defaultMemberUniqueName="[tb1people].[region].[All]" allUniqueName="[tb1people].[region].[All]" dimensionUniqueName="[tb1people]" displayFolder="" count="0" memberValueDatatype="130" unbalanced="0"/>
    <cacheHierarchy uniqueName="[v_daily_revenue].[sale_date]" caption="sale_date" attribute="1" time="1" defaultMemberUniqueName="[v_daily_revenue].[sale_date].[All]" allUniqueName="[v_daily_revenue].[sale_date].[All]" dimensionUniqueName="[v_daily_revenue]" displayFolder="" count="0" memberValueDatatype="7" unbalanced="0"/>
    <cacheHierarchy uniqueName="[v_daily_revenue].[orders]" caption="orders" attribute="1" defaultMemberUniqueName="[v_daily_revenue].[orders].[All]" allUniqueName="[v_daily_revenue].[orders].[All]" dimensionUniqueName="[v_daily_revenue]" displayFolder="" count="0" memberValueDatatype="20" unbalanced="0"/>
    <cacheHierarchy uniqueName="[v_daily_revenue].[units]" caption="units" attribute="1" defaultMemberUniqueName="[v_daily_revenue].[units].[All]" allUniqueName="[v_daily_revenue].[units].[All]" dimensionUniqueName="[v_daily_revenue]" displayFolder="" count="0" memberValueDatatype="20" unbalanced="0"/>
    <cacheHierarchy uniqueName="[v_daily_revenue].[revenue]" caption="revenue" attribute="1" defaultMemberUniqueName="[v_daily_revenue].[revenue].[All]" allUniqueName="[v_daily_revenue].[revenue].[All]" dimensionUniqueName="[v_daily_revenue]" displayFolder="" count="0" memberValueDatatype="5" unbalanced="0"/>
    <cacheHierarchy uniqueName="[v_daily_revenue 1].[sale_date]" caption="sale_date" attribute="1" time="1" defaultMemberUniqueName="[v_daily_revenue 1].[sale_date].[All]" allUniqueName="[v_daily_revenue 1].[sale_date].[All]" dimensionUniqueName="[v_daily_revenue 1]" displayFolder="" count="0" memberValueDatatype="7" unbalanced="0"/>
    <cacheHierarchy uniqueName="[v_daily_revenue 1].[orders]" caption="orders" attribute="1" defaultMemberUniqueName="[v_daily_revenue 1].[orders].[All]" allUniqueName="[v_daily_revenue 1].[orders].[All]" dimensionUniqueName="[v_daily_revenue 1]" displayFolder="" count="0" memberValueDatatype="20" unbalanced="0"/>
    <cacheHierarchy uniqueName="[v_daily_revenue 1].[units]" caption="units" attribute="1" defaultMemberUniqueName="[v_daily_revenue 1].[units].[All]" allUniqueName="[v_daily_revenue 1].[units].[All]" dimensionUniqueName="[v_daily_revenue 1]" displayFolder="" count="0" memberValueDatatype="20" unbalanced="0"/>
    <cacheHierarchy uniqueName="[v_daily_revenue 1].[revenue]" caption="revenue" attribute="1" defaultMemberUniqueName="[v_daily_revenue 1].[revenue].[All]" allUniqueName="[v_daily_revenue 1].[revenue].[All]" dimensionUniqueName="[v_daily_revenue 1]" displayFolder="" count="0" memberValueDatatype="20" unbalanced="0"/>
    <cacheHierarchy uniqueName="[v_monthly_revenue].[sale_year]" caption="sale_year" attribute="1" defaultMemberUniqueName="[v_monthly_revenue].[sale_year].[All]" allUniqueName="[v_monthly_revenue].[sale_year].[All]" dimensionUniqueName="[v_monthly_revenue]" displayFolder="" count="0" memberValueDatatype="20" unbalanced="0"/>
    <cacheHierarchy uniqueName="[v_monthly_revenue].[sale_month]" caption="sale_month" attribute="1" defaultMemberUniqueName="[v_monthly_revenue].[sale_month].[All]" allUniqueName="[v_monthly_revenue].[sale_month].[All]" dimensionUniqueName="[v_monthly_revenue]" displayFolder="" count="0" memberValueDatatype="20" unbalanced="0"/>
    <cacheHierarchy uniqueName="[v_monthly_revenue].[month_name]" caption="month_name" attribute="1" defaultMemberUniqueName="[v_monthly_revenue].[month_name].[All]" allUniqueName="[v_monthly_revenue].[month_name].[All]" dimensionUniqueName="[v_monthly_revenue]" displayFolder="" count="0" memberValueDatatype="130" unbalanced="0"/>
    <cacheHierarchy uniqueName="[v_monthly_revenue].[revenue]" caption="revenue" attribute="1" defaultMemberUniqueName="[v_monthly_revenue].[revenue].[All]" allUniqueName="[v_monthly_revenue].[revenue].[All]" dimensionUniqueName="[v_monthly_revenue]" displayFolder="" count="0" memberValueDatatype="5" unbalanced="0"/>
    <cacheHierarchy uniqueName="[v_monthly_revenue].[orders]" caption="orders" attribute="1" defaultMemberUniqueName="[v_monthly_revenue].[orders].[All]" allUniqueName="[v_monthly_revenue].[orders].[All]" dimensionUniqueName="[v_monthly_revenue]" displayFolder="" count="0" memberValueDatatype="20" unbalanced="0"/>
    <cacheHierarchy uniqueName="[v_product_performance].[product_name]" caption="product_name" attribute="1" defaultMemberUniqueName="[v_product_performance].[product_name].[All]" allUniqueName="[v_product_performance].[product_name].[All]" dimensionUniqueName="[v_product_performance]" displayFolder="" count="0" memberValueDatatype="130" unbalanced="0"/>
    <cacheHierarchy uniqueName="[v_product_performance].[category]" caption="category" attribute="1" defaultMemberUniqueName="[v_product_performance].[category].[All]" allUniqueName="[v_product_performance].[category].[All]" dimensionUniqueName="[v_product_performance]" displayFolder="" count="0" memberValueDatatype="130" unbalanced="0"/>
    <cacheHierarchy uniqueName="[v_product_performance].[units_sold]" caption="units_sold" attribute="1" defaultMemberUniqueName="[v_product_performance].[units_sold].[All]" allUniqueName="[v_product_performance].[units_sold].[All]" dimensionUniqueName="[v_product_performance]" displayFolder="" count="0" memberValueDatatype="20" unbalanced="0"/>
    <cacheHierarchy uniqueName="[v_product_performance].[revenue]" caption="revenue" attribute="1" defaultMemberUniqueName="[v_product_performance].[revenue].[All]" allUniqueName="[v_product_performance].[revenue].[All]" dimensionUniqueName="[v_product_performance]" displayFolder="" count="0" memberValueDatatype="5" unbalanced="0"/>
    <cacheHierarchy uniqueName="[v_sales_detail].[sale_date]" caption="sale_date" attribute="1" time="1" defaultMemberUniqueName="[v_sales_detail].[sale_date].[All]" allUniqueName="[v_sales_detail].[sale_date].[All]" dimensionUniqueName="[v_sales_detail]" displayFolder="" count="0" memberValueDatatype="7" unbalanced="0"/>
    <cacheHierarchy uniqueName="[v_sales_detail].[sale_year]" caption="sale_year" attribute="1" defaultMemberUniqueName="[v_sales_detail].[sale_year].[All]" allUniqueName="[v_sales_detail].[sale_year].[All]" dimensionUniqueName="[v_sales_detail]" displayFolder="" count="0" memberValueDatatype="20" unbalanced="0"/>
    <cacheHierarchy uniqueName="[v_sales_detail].[sale_month]" caption="sale_month" attribute="1" defaultMemberUniqueName="[v_sales_detail].[sale_month].[All]" allUniqueName="[v_sales_detail].[sale_month].[All]" dimensionUniqueName="[v_sales_detail]" displayFolder="" count="0" memberValueDatatype="20" unbalanced="0"/>
    <cacheHierarchy uniqueName="[v_sales_detail].[salesperson]" caption="salesperson" attribute="1" defaultMemberUniqueName="[v_sales_detail].[salesperson].[All]" allUniqueName="[v_sales_detail].[salesperson].[All]" dimensionUniqueName="[v_sales_detail]" displayFolder="" count="0" memberValueDatatype="130" unbalanced="0"/>
    <cacheHierarchy uniqueName="[v_sales_detail].[region]" caption="region" attribute="1" defaultMemberUniqueName="[v_sales_detail].[region].[All]" allUniqueName="[v_sales_detail].[region].[All]" dimensionUniqueName="[v_sales_detail]" displayFolder="" count="0" memberValueDatatype="130" unbalanced="0"/>
    <cacheHierarchy uniqueName="[v_sales_detail].[product_name]" caption="product_name" attribute="1" defaultMemberUniqueName="[v_sales_detail].[product_name].[All]" allUniqueName="[v_sales_detail].[product_name].[All]" dimensionUniqueName="[v_sales_detail]" displayFolder="" count="0" memberValueDatatype="130" unbalanced="0"/>
    <cacheHierarchy uniqueName="[v_sales_detail].[category]" caption="category" attribute="1" defaultMemberUniqueName="[v_sales_detail].[category].[All]" allUniqueName="[v_sales_detail].[category].[All]" dimensionUniqueName="[v_sales_detail]" displayFolder="" count="0" memberValueDatatype="130" unbalanced="0"/>
    <cacheHierarchy uniqueName="[v_sales_detail].[quantity]" caption="quantity" attribute="1" defaultMemberUniqueName="[v_sales_detail].[quantity].[All]" allUniqueName="[v_sales_detail].[quantity].[All]" dimensionUniqueName="[v_sales_detail]" displayFolder="" count="0" memberValueDatatype="20" unbalanced="0"/>
    <cacheHierarchy uniqueName="[v_sales_detail].[amount]" caption="amount" attribute="1" defaultMemberUniqueName="[v_sales_detail].[amount].[All]" allUniqueName="[v_sales_detail].[amount].[All]" dimensionUniqueName="[v_sales_detail]" displayFolder="" count="0" memberValueDatatype="5" unbalanced="0"/>
    <cacheHierarchy uniqueName="[v_target_vs_actual].[salesperson]" caption="salesperson" attribute="1" defaultMemberUniqueName="[v_target_vs_actual].[salesperson].[All]" allUniqueName="[v_target_vs_actual].[salesperson].[All]" dimensionUniqueName="[v_target_vs_actual]" displayFolder="" count="0" memberValueDatatype="130" unbalanced="0"/>
    <cacheHierarchy uniqueName="[v_target_vs_actual].[region]" caption="region" attribute="1" defaultMemberUniqueName="[v_target_vs_actual].[region].[All]" allUniqueName="[v_target_vs_actual].[region].[All]" dimensionUniqueName="[v_target_vs_actual]" displayFolder="" count="0" memberValueDatatype="130" unbalanced="0"/>
    <cacheHierarchy uniqueName="[v_target_vs_actual].[target_year]" caption="target_year" attribute="1" defaultMemberUniqueName="[v_target_vs_actual].[target_year].[All]" allUniqueName="[v_target_vs_actual].[target_year].[All]" dimensionUniqueName="[v_target_vs_actual]" displayFolder="" count="0" memberValueDatatype="20" unbalanced="0"/>
    <cacheHierarchy uniqueName="[v_target_vs_actual].[target_month]" caption="target_month" attribute="1" defaultMemberUniqueName="[v_target_vs_actual].[target_month].[All]" allUniqueName="[v_target_vs_actual].[target_month].[All]" dimensionUniqueName="[v_target_vs_actual]" displayFolder="" count="0" memberValueDatatype="20" unbalanced="0"/>
    <cacheHierarchy uniqueName="[v_target_vs_actual].[target_amount]" caption="target_amount" attribute="1" defaultMemberUniqueName="[v_target_vs_actual].[target_amount].[All]" allUniqueName="[v_target_vs_actual].[target_amount].[All]" dimensionUniqueName="[v_target_vs_actual]" displayFolder="" count="0" memberValueDatatype="5" unbalanced="0"/>
    <cacheHierarchy uniqueName="[v_target_vs_actual].[actual_amount]" caption="actual_amount" attribute="1" defaultMemberUniqueName="[v_target_vs_actual].[actual_amount].[All]" allUniqueName="[v_target_vs_actual].[actual_amount].[All]" dimensionUniqueName="[v_target_vs_actual]" displayFolder="" count="0" memberValueDatatype="5" unbalanced="0"/>
    <cacheHierarchy uniqueName="[v_target_vs_actual].[achievement_pct]" caption="achievement_pct" attribute="1" defaultMemberUniqueName="[v_target_vs_actual].[achievement_pct].[All]" allUniqueName="[v_target_vs_actual].[achievement_pct].[All]" dimensionUniqueName="[v_target_vs_actual]" displayFolder="" count="0" memberValueDatatype="5" unbalanced="0"/>
    <cacheHierarchy uniqueName="[v_target_vs_actual].[status]" caption="status" attribute="1" defaultMemberUniqueName="[v_target_vs_actual].[status].[All]" allUniqueName="[v_target_vs_actual].[status].[All]" dimensionUniqueName="[v_target_vs_actual]" displayFolder="" count="0" memberValueDatatype="130" unbalanced="0"/>
    <cacheHierarchy uniqueName="[Measures].[Sum of month_no]" caption="Sum of month_no" measure="1" displayFolder="" measureGroup="tb1Months" count="0">
      <extLst>
        <ext xmlns:x15="http://schemas.microsoft.com/office/spreadsheetml/2010/11/main" uri="{B97F6D7D-B522-45F9-BDA1-12C45D357490}">
          <x15:cacheHierarchy aggregatedColumn="0"/>
        </ext>
      </extLst>
    </cacheHierarchy>
    <cacheHierarchy uniqueName="[Measures].[Count of month_label]" caption="Count of month_label" measure="1" displayFolder="" measureGroup="tb1Months" count="0">
      <extLst>
        <ext xmlns:x15="http://schemas.microsoft.com/office/spreadsheetml/2010/11/main" uri="{B97F6D7D-B522-45F9-BDA1-12C45D357490}">
          <x15:cacheHierarchy aggregatedColumn="1"/>
        </ext>
      </extLst>
    </cacheHierarchy>
    <cacheHierarchy uniqueName="[Measures].[Sum of revenue]" caption="Sum of revenue" measure="1" displayFolder="" measureGroup="v_daily_revenue 1" count="0">
      <extLst>
        <ext xmlns:x15="http://schemas.microsoft.com/office/spreadsheetml/2010/11/main" uri="{B97F6D7D-B522-45F9-BDA1-12C45D357490}">
          <x15:cacheHierarchy aggregatedColumn="11"/>
        </ext>
      </extLst>
    </cacheHierarchy>
    <cacheHierarchy uniqueName="[Measures].[Revenue]" caption="Revenue" measure="1" displayFolder="" measureGroup="v_sales_detail" count="0" oneField="1">
      <fieldsUsage count="1">
        <fieldUsage x="1"/>
      </fieldsUsage>
    </cacheHierarchy>
    <cacheHierarchy uniqueName="[Measures].[Target]" caption="Target" measure="1" displayFolder="" measureGroup="v_target_vs_actual" count="0" oneField="1">
      <fieldsUsage count="1">
        <fieldUsage x="2"/>
      </fieldsUsage>
    </cacheHierarchy>
    <cacheHierarchy uniqueName="[Measures].[Delta]" caption="Delta" measure="1" displayFolder="" measureGroup="v_target_vs_actual" count="0" oneField="1">
      <fieldsUsage count="1">
        <fieldUsage x="3"/>
      </fieldsUsage>
    </cacheHierarchy>
    <cacheHierarchy uniqueName="[Measures].[Achivement]" caption="Achievement" measure="1" displayFolder="" measureGroup="v_target_vs_actual" count="0" oneField="1">
      <fieldsUsage count="1">
        <fieldUsage x="4"/>
      </fieldsUsage>
    </cacheHierarchy>
    <cacheHierarchy uniqueName="[Measures].[__XL_Count v_daily_revenue]" caption="__XL_Count v_daily_revenue" measure="1" displayFolder="" measureGroup="v_daily_revenue" count="0" hidden="1"/>
    <cacheHierarchy uniqueName="[Measures].[__XL_Count v_monthly_revenue]" caption="__XL_Count v_monthly_revenue" measure="1" displayFolder="" measureGroup="v_monthly_revenue" count="0" hidden="1"/>
    <cacheHierarchy uniqueName="[Measures].[__XL_Count v_product_performance]" caption="__XL_Count v_product_performance" measure="1" displayFolder="" measureGroup="v_product_performance" count="0" hidden="1"/>
    <cacheHierarchy uniqueName="[Measures].[__XL_Count v_sales_detail]" caption="__XL_Count v_sales_detail" measure="1" displayFolder="" measureGroup="v_sales_detail" count="0" hidden="1"/>
    <cacheHierarchy uniqueName="[Measures].[__XL_Count v_target_vs_actual]" caption="__XL_Count v_target_vs_actual" measure="1" displayFolder="" measureGroup="v_target_vs_actual" count="0" hidden="1"/>
    <cacheHierarchy uniqueName="[Measures].[__XL_Count tb1Months]" caption="__XL_Count tb1Months" measure="1" displayFolder="" measureGroup="tb1Months" count="0" hidden="1"/>
    <cacheHierarchy uniqueName="[Measures].[__XL_Count tb1people]" caption="__XL_Count tb1people" measure="1" displayFolder="" measureGroup="tb1people" count="0" hidden="1"/>
    <cacheHierarchy uniqueName="[Measures].[__XL_Count v_daily_revenue 1]" caption="__XL_Count v_daily_revenue 1" measure="1" displayFolder="" measureGroup="v_daily_revenue 1" count="0" hidden="1"/>
    <cacheHierarchy uniqueName="[Measures].[__No measures defined]" caption="__No measures defined" measure="1" displayFolder="" count="0" hidden="1"/>
  </cacheHierarchies>
  <kpis count="0"/>
  <dimensions count="9">
    <dimension measure="1" name="Measures" uniqueName="[Measures]" caption="Measures"/>
    <dimension name="tb1Months" uniqueName="[tb1Months]" caption="tb1Months"/>
    <dimension name="tb1people" uniqueName="[tb1people]" caption="tb1people"/>
    <dimension name="v_daily_revenue" uniqueName="[v_daily_revenue]" caption="v_daily_revenue"/>
    <dimension name="v_daily_revenue 1" uniqueName="[v_daily_revenue 1]" caption="v_daily_revenue 1"/>
    <dimension name="v_monthly_revenue" uniqueName="[v_monthly_revenue]" caption="v_monthly_revenue"/>
    <dimension name="v_product_performance" uniqueName="[v_product_performance]" caption="v_product_performance"/>
    <dimension name="v_sales_detail" uniqueName="[v_sales_detail]" caption="v_sales_detail"/>
    <dimension name="v_target_vs_actual" uniqueName="[v_target_vs_actual]" caption="v_target_vs_actual"/>
  </dimensions>
  <measureGroups count="8">
    <measureGroup name="tb1Months" caption="tb1Months"/>
    <measureGroup name="tb1people" caption="tb1people"/>
    <measureGroup name="v_daily_revenue" caption="v_daily_revenue"/>
    <measureGroup name="v_daily_revenue 1" caption="v_daily_revenue 1"/>
    <measureGroup name="v_monthly_revenue" caption="v_monthly_revenue"/>
    <measureGroup name="v_product_performance" caption="v_product_performance"/>
    <measureGroup name="v_sales_detail" caption="v_sales_detail"/>
    <measureGroup name="v_target_vs_actual" caption="v_target_vs_actual"/>
  </measureGroups>
  <maps count="12">
    <map measureGroup="0" dimension="1"/>
    <map measureGroup="1" dimension="2"/>
    <map measureGroup="2" dimension="3"/>
    <map measureGroup="3" dimension="4"/>
    <map measureGroup="4" dimension="5"/>
    <map measureGroup="5" dimension="6"/>
    <map measureGroup="6" dimension="1"/>
    <map measureGroup="6" dimension="2"/>
    <map measureGroup="6" dimension="7"/>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Date="46325.425827893516" backgroundQuery="1" createdVersion="8" refreshedVersion="8" minRefreshableVersion="3" recordCount="0" supportSubquery="1" supportAdvancedDrill="1" xr:uid="{4AFD10A0-8E6B-498B-9DF4-02BD0641817B}">
  <cacheSource type="external" connectionId="11"/>
  <cacheFields count="0"/>
  <cacheHierarchies count="54">
    <cacheHierarchy uniqueName="[tb1Months].[month_no]" caption="month_no" attribute="1" defaultMemberUniqueName="[tb1Months].[month_no].[All]" allUniqueName="[tb1Months].[month_no].[All]" dimensionUniqueName="[tb1Months]" displayFolder="" count="0" memberValueDatatype="20" unbalanced="0"/>
    <cacheHierarchy uniqueName="[tb1Months].[month_label]" caption="month_label" attribute="1" defaultMemberUniqueName="[tb1Months].[month_label].[All]" allUniqueName="[tb1Months].[month_label].[All]" dimensionUniqueName="[tb1Months]" displayFolder="" count="0" memberValueDatatype="130" unbalanced="0"/>
    <cacheHierarchy uniqueName="[tb1people].[salesperson]" caption="salesperson" attribute="1" defaultMemberUniqueName="[tb1people].[salesperson].[All]" allUniqueName="[tb1people].[salesperson].[All]" dimensionUniqueName="[tb1people]" displayFolder="" count="0" memberValueDatatype="130" unbalanced="0"/>
    <cacheHierarchy uniqueName="[tb1people].[region]" caption="region" attribute="1" defaultMemberUniqueName="[tb1people].[region].[All]" allUniqueName="[tb1people].[region].[All]" dimensionUniqueName="[tb1people]" displayFolder="" count="0" memberValueDatatype="130" unbalanced="0"/>
    <cacheHierarchy uniqueName="[v_daily_revenue].[sale_date]" caption="sale_date" attribute="1" time="1" defaultMemberUniqueName="[v_daily_revenue].[sale_date].[All]" allUniqueName="[v_daily_revenue].[sale_date].[All]" dimensionUniqueName="[v_daily_revenue]" displayFolder="" count="0" memberValueDatatype="7" unbalanced="0"/>
    <cacheHierarchy uniqueName="[v_daily_revenue].[orders]" caption="orders" attribute="1" defaultMemberUniqueName="[v_daily_revenue].[orders].[All]" allUniqueName="[v_daily_revenue].[orders].[All]" dimensionUniqueName="[v_daily_revenue]" displayFolder="" count="0" memberValueDatatype="20" unbalanced="0"/>
    <cacheHierarchy uniqueName="[v_daily_revenue].[units]" caption="units" attribute="1" defaultMemberUniqueName="[v_daily_revenue].[units].[All]" allUniqueName="[v_daily_revenue].[units].[All]" dimensionUniqueName="[v_daily_revenue]" displayFolder="" count="0" memberValueDatatype="20" unbalanced="0"/>
    <cacheHierarchy uniqueName="[v_daily_revenue].[revenue]" caption="revenue" attribute="1" defaultMemberUniqueName="[v_daily_revenue].[revenue].[All]" allUniqueName="[v_daily_revenue].[revenue].[All]" dimensionUniqueName="[v_daily_revenue]" displayFolder="" count="0" memberValueDatatype="5" unbalanced="0"/>
    <cacheHierarchy uniqueName="[v_daily_revenue 1].[sale_date]" caption="sale_date" attribute="1" time="1" defaultMemberUniqueName="[v_daily_revenue 1].[sale_date].[All]" allUniqueName="[v_daily_revenue 1].[sale_date].[All]" dimensionUniqueName="[v_daily_revenue 1]" displayFolder="" count="0" memberValueDatatype="7" unbalanced="0"/>
    <cacheHierarchy uniqueName="[v_daily_revenue 1].[orders]" caption="orders" attribute="1" defaultMemberUniqueName="[v_daily_revenue 1].[orders].[All]" allUniqueName="[v_daily_revenue 1].[orders].[All]" dimensionUniqueName="[v_daily_revenue 1]" displayFolder="" count="0" memberValueDatatype="20" unbalanced="0"/>
    <cacheHierarchy uniqueName="[v_daily_revenue 1].[units]" caption="units" attribute="1" defaultMemberUniqueName="[v_daily_revenue 1].[units].[All]" allUniqueName="[v_daily_revenue 1].[units].[All]" dimensionUniqueName="[v_daily_revenue 1]" displayFolder="" count="0" memberValueDatatype="20" unbalanced="0"/>
    <cacheHierarchy uniqueName="[v_daily_revenue 1].[revenue]" caption="revenue" attribute="1" defaultMemberUniqueName="[v_daily_revenue 1].[revenue].[All]" allUniqueName="[v_daily_revenue 1].[revenue].[All]" dimensionUniqueName="[v_daily_revenue 1]" displayFolder="" count="0" memberValueDatatype="20" unbalanced="0"/>
    <cacheHierarchy uniqueName="[v_monthly_revenue].[sale_year]" caption="sale_year" attribute="1" defaultMemberUniqueName="[v_monthly_revenue].[sale_year].[All]" allUniqueName="[v_monthly_revenue].[sale_year].[All]" dimensionUniqueName="[v_monthly_revenue]" displayFolder="" count="0" memberValueDatatype="20" unbalanced="0"/>
    <cacheHierarchy uniqueName="[v_monthly_revenue].[sale_month]" caption="sale_month" attribute="1" defaultMemberUniqueName="[v_monthly_revenue].[sale_month].[All]" allUniqueName="[v_monthly_revenue].[sale_month].[All]" dimensionUniqueName="[v_monthly_revenue]" displayFolder="" count="0" memberValueDatatype="20" unbalanced="0"/>
    <cacheHierarchy uniqueName="[v_monthly_revenue].[month_name]" caption="month_name" attribute="1" defaultMemberUniqueName="[v_monthly_revenue].[month_name].[All]" allUniqueName="[v_monthly_revenue].[month_name].[All]" dimensionUniqueName="[v_monthly_revenue]" displayFolder="" count="0" memberValueDatatype="130" unbalanced="0"/>
    <cacheHierarchy uniqueName="[v_monthly_revenue].[revenue]" caption="revenue" attribute="1" defaultMemberUniqueName="[v_monthly_revenue].[revenue].[All]" allUniqueName="[v_monthly_revenue].[revenue].[All]" dimensionUniqueName="[v_monthly_revenue]" displayFolder="" count="0" memberValueDatatype="5" unbalanced="0"/>
    <cacheHierarchy uniqueName="[v_monthly_revenue].[orders]" caption="orders" attribute="1" defaultMemberUniqueName="[v_monthly_revenue].[orders].[All]" allUniqueName="[v_monthly_revenue].[orders].[All]" dimensionUniqueName="[v_monthly_revenue]" displayFolder="" count="0" memberValueDatatype="20" unbalanced="0"/>
    <cacheHierarchy uniqueName="[v_product_performance].[product_name]" caption="product_name" attribute="1" defaultMemberUniqueName="[v_product_performance].[product_name].[All]" allUniqueName="[v_product_performance].[product_name].[All]" dimensionUniqueName="[v_product_performance]" displayFolder="" count="0" memberValueDatatype="130" unbalanced="0"/>
    <cacheHierarchy uniqueName="[v_product_performance].[category]" caption="category" attribute="1" defaultMemberUniqueName="[v_product_performance].[category].[All]" allUniqueName="[v_product_performance].[category].[All]" dimensionUniqueName="[v_product_performance]" displayFolder="" count="0" memberValueDatatype="130" unbalanced="0"/>
    <cacheHierarchy uniqueName="[v_product_performance].[units_sold]" caption="units_sold" attribute="1" defaultMemberUniqueName="[v_product_performance].[units_sold].[All]" allUniqueName="[v_product_performance].[units_sold].[All]" dimensionUniqueName="[v_product_performance]" displayFolder="" count="0" memberValueDatatype="20" unbalanced="0"/>
    <cacheHierarchy uniqueName="[v_product_performance].[revenue]" caption="revenue" attribute="1" defaultMemberUniqueName="[v_product_performance].[revenue].[All]" allUniqueName="[v_product_performance].[revenue].[All]" dimensionUniqueName="[v_product_performance]" displayFolder="" count="0" memberValueDatatype="5" unbalanced="0"/>
    <cacheHierarchy uniqueName="[v_sales_detail].[sale_date]" caption="sale_date" attribute="1" time="1" defaultMemberUniqueName="[v_sales_detail].[sale_date].[All]" allUniqueName="[v_sales_detail].[sale_date].[All]" dimensionUniqueName="[v_sales_detail]" displayFolder="" count="0" memberValueDatatype="7" unbalanced="0"/>
    <cacheHierarchy uniqueName="[v_sales_detail].[sale_year]" caption="sale_year" attribute="1" defaultMemberUniqueName="[v_sales_detail].[sale_year].[All]" allUniqueName="[v_sales_detail].[sale_year].[All]" dimensionUniqueName="[v_sales_detail]" displayFolder="" count="0" memberValueDatatype="20" unbalanced="0"/>
    <cacheHierarchy uniqueName="[v_sales_detail].[sale_month]" caption="sale_month" attribute="1" defaultMemberUniqueName="[v_sales_detail].[sale_month].[All]" allUniqueName="[v_sales_detail].[sale_month].[All]" dimensionUniqueName="[v_sales_detail]" displayFolder="" count="0" memberValueDatatype="20" unbalanced="0"/>
    <cacheHierarchy uniqueName="[v_sales_detail].[salesperson]" caption="salesperson" attribute="1" defaultMemberUniqueName="[v_sales_detail].[salesperson].[All]" allUniqueName="[v_sales_detail].[salesperson].[All]" dimensionUniqueName="[v_sales_detail]" displayFolder="" count="0" memberValueDatatype="130" unbalanced="0"/>
    <cacheHierarchy uniqueName="[v_sales_detail].[region]" caption="region" attribute="1" defaultMemberUniqueName="[v_sales_detail].[region].[All]" allUniqueName="[v_sales_detail].[region].[All]" dimensionUniqueName="[v_sales_detail]" displayFolder="" count="0" memberValueDatatype="130" unbalanced="0"/>
    <cacheHierarchy uniqueName="[v_sales_detail].[product_name]" caption="product_name" attribute="1" defaultMemberUniqueName="[v_sales_detail].[product_name].[All]" allUniqueName="[v_sales_detail].[product_name].[All]" dimensionUniqueName="[v_sales_detail]" displayFolder="" count="0" memberValueDatatype="130" unbalanced="0"/>
    <cacheHierarchy uniqueName="[v_sales_detail].[category]" caption="category" attribute="1" defaultMemberUniqueName="[v_sales_detail].[category].[All]" allUniqueName="[v_sales_detail].[category].[All]" dimensionUniqueName="[v_sales_detail]" displayFolder="" count="0" memberValueDatatype="130" unbalanced="0"/>
    <cacheHierarchy uniqueName="[v_sales_detail].[quantity]" caption="quantity" attribute="1" defaultMemberUniqueName="[v_sales_detail].[quantity].[All]" allUniqueName="[v_sales_detail].[quantity].[All]" dimensionUniqueName="[v_sales_detail]" displayFolder="" count="0" memberValueDatatype="20" unbalanced="0"/>
    <cacheHierarchy uniqueName="[v_sales_detail].[amount]" caption="amount" attribute="1" defaultMemberUniqueName="[v_sales_detail].[amount].[All]" allUniqueName="[v_sales_detail].[amount].[All]" dimensionUniqueName="[v_sales_detail]" displayFolder="" count="0" memberValueDatatype="5" unbalanced="0"/>
    <cacheHierarchy uniqueName="[v_target_vs_actual].[salesperson]" caption="salesperson" attribute="1" defaultMemberUniqueName="[v_target_vs_actual].[salesperson].[All]" allUniqueName="[v_target_vs_actual].[salesperson].[All]" dimensionUniqueName="[v_target_vs_actual]" displayFolder="" count="0" memberValueDatatype="130" unbalanced="0"/>
    <cacheHierarchy uniqueName="[v_target_vs_actual].[region]" caption="region" attribute="1" defaultMemberUniqueName="[v_target_vs_actual].[region].[All]" allUniqueName="[v_target_vs_actual].[region].[All]" dimensionUniqueName="[v_target_vs_actual]" displayFolder="" count="0" memberValueDatatype="130" unbalanced="0"/>
    <cacheHierarchy uniqueName="[v_target_vs_actual].[target_year]" caption="target_year" attribute="1" defaultMemberUniqueName="[v_target_vs_actual].[target_year].[All]" allUniqueName="[v_target_vs_actual].[target_year].[All]" dimensionUniqueName="[v_target_vs_actual]" displayFolder="" count="0" memberValueDatatype="20" unbalanced="0"/>
    <cacheHierarchy uniqueName="[v_target_vs_actual].[target_month]" caption="target_month" attribute="1" defaultMemberUniqueName="[v_target_vs_actual].[target_month].[All]" allUniqueName="[v_target_vs_actual].[target_month].[All]" dimensionUniqueName="[v_target_vs_actual]" displayFolder="" count="0" memberValueDatatype="20" unbalanced="0"/>
    <cacheHierarchy uniqueName="[v_target_vs_actual].[target_amount]" caption="target_amount" attribute="1" defaultMemberUniqueName="[v_target_vs_actual].[target_amount].[All]" allUniqueName="[v_target_vs_actual].[target_amount].[All]" dimensionUniqueName="[v_target_vs_actual]" displayFolder="" count="0" memberValueDatatype="5" unbalanced="0"/>
    <cacheHierarchy uniqueName="[v_target_vs_actual].[actual_amount]" caption="actual_amount" attribute="1" defaultMemberUniqueName="[v_target_vs_actual].[actual_amount].[All]" allUniqueName="[v_target_vs_actual].[actual_amount].[All]" dimensionUniqueName="[v_target_vs_actual]" displayFolder="" count="0" memberValueDatatype="5" unbalanced="0"/>
    <cacheHierarchy uniqueName="[v_target_vs_actual].[achievement_pct]" caption="achievement_pct" attribute="1" defaultMemberUniqueName="[v_target_vs_actual].[achievement_pct].[All]" allUniqueName="[v_target_vs_actual].[achievement_pct].[All]" dimensionUniqueName="[v_target_vs_actual]" displayFolder="" count="0" memberValueDatatype="5" unbalanced="0"/>
    <cacheHierarchy uniqueName="[v_target_vs_actual].[status]" caption="status" attribute="1" defaultMemberUniqueName="[v_target_vs_actual].[status].[All]" allUniqueName="[v_target_vs_actual].[status].[All]" dimensionUniqueName="[v_target_vs_actual]" displayFolder="" count="0" memberValueDatatype="130" unbalanced="0"/>
    <cacheHierarchy uniqueName="[Measures].[Sum of month_no]" caption="Sum of month_no" measure="1" displayFolder="" measureGroup="tb1Months" count="0">
      <extLst>
        <ext xmlns:x15="http://schemas.microsoft.com/office/spreadsheetml/2010/11/main" uri="{B97F6D7D-B522-45F9-BDA1-12C45D357490}">
          <x15:cacheHierarchy aggregatedColumn="0"/>
        </ext>
      </extLst>
    </cacheHierarchy>
    <cacheHierarchy uniqueName="[Measures].[Count of month_label]" caption="Count of month_label" measure="1" displayFolder="" measureGroup="tb1Months" count="0">
      <extLst>
        <ext xmlns:x15="http://schemas.microsoft.com/office/spreadsheetml/2010/11/main" uri="{B97F6D7D-B522-45F9-BDA1-12C45D357490}">
          <x15:cacheHierarchy aggregatedColumn="1"/>
        </ext>
      </extLst>
    </cacheHierarchy>
    <cacheHierarchy uniqueName="[Measures].[Sum of revenue]" caption="Sum of revenue" measure="1" displayFolder="" measureGroup="v_daily_revenue 1" count="0">
      <extLst>
        <ext xmlns:x15="http://schemas.microsoft.com/office/spreadsheetml/2010/11/main" uri="{B97F6D7D-B522-45F9-BDA1-12C45D357490}">
          <x15:cacheHierarchy aggregatedColumn="11"/>
        </ext>
      </extLst>
    </cacheHierarchy>
    <cacheHierarchy uniqueName="[Measures].[Revenue]" caption="Revenue" measure="1" displayFolder="" measureGroup="v_sales_detail" count="0"/>
    <cacheHierarchy uniqueName="[Measures].[Target]" caption="Target" measure="1" displayFolder="" measureGroup="v_target_vs_actual" count="0"/>
    <cacheHierarchy uniqueName="[Measures].[Delta]" caption="Delta" measure="1" displayFolder="" measureGroup="v_target_vs_actual" count="0"/>
    <cacheHierarchy uniqueName="[Measures].[Achivement]" caption="Achivement" measure="1" displayFolder="" measureGroup="v_target_vs_actual" count="0"/>
    <cacheHierarchy uniqueName="[Measures].[__XL_Count v_daily_revenue]" caption="__XL_Count v_daily_revenue" measure="1" displayFolder="" measureGroup="v_daily_revenue" count="0" hidden="1"/>
    <cacheHierarchy uniqueName="[Measures].[__XL_Count v_monthly_revenue]" caption="__XL_Count v_monthly_revenue" measure="1" displayFolder="" measureGroup="v_monthly_revenue" count="0" hidden="1"/>
    <cacheHierarchy uniqueName="[Measures].[__XL_Count v_product_performance]" caption="__XL_Count v_product_performance" measure="1" displayFolder="" measureGroup="v_product_performance" count="0" hidden="1"/>
    <cacheHierarchy uniqueName="[Measures].[__XL_Count v_sales_detail]" caption="__XL_Count v_sales_detail" measure="1" displayFolder="" measureGroup="v_sales_detail" count="0" hidden="1"/>
    <cacheHierarchy uniqueName="[Measures].[__XL_Count v_target_vs_actual]" caption="__XL_Count v_target_vs_actual" measure="1" displayFolder="" measureGroup="v_target_vs_actual" count="0" hidden="1"/>
    <cacheHierarchy uniqueName="[Measures].[__XL_Count tb1Months]" caption="__XL_Count tb1Months" measure="1" displayFolder="" measureGroup="tb1Months" count="0" hidden="1"/>
    <cacheHierarchy uniqueName="[Measures].[__XL_Count tb1people]" caption="__XL_Count tb1people" measure="1" displayFolder="" measureGroup="tb1people" count="0" hidden="1"/>
    <cacheHierarchy uniqueName="[Measures].[__XL_Count v_daily_revenue 1]" caption="__XL_Count v_daily_revenue 1" measure="1" displayFolder="" measureGroup="v_daily_revenue 1" count="0" hidden="1"/>
    <cacheHierarchy uniqueName="[Measures].[__No measures defined]" caption="__No measures defined" measure="1" displayFolder="" count="0" hidden="1"/>
  </cacheHierarchies>
  <kpis count="0"/>
  <dimensions count="9">
    <dimension measure="1" name="Measures" uniqueName="[Measures]" caption="Measures"/>
    <dimension name="tb1Months" uniqueName="[tb1Months]" caption="tb1Months"/>
    <dimension name="tb1people" uniqueName="[tb1people]" caption="tb1people"/>
    <dimension name="v_daily_revenue" uniqueName="[v_daily_revenue]" caption="v_daily_revenue"/>
    <dimension name="v_daily_revenue 1" uniqueName="[v_daily_revenue 1]" caption="v_daily_revenue 1"/>
    <dimension name="v_monthly_revenue" uniqueName="[v_monthly_revenue]" caption="v_monthly_revenue"/>
    <dimension name="v_product_performance" uniqueName="[v_product_performance]" caption="v_product_performance"/>
    <dimension name="v_sales_detail" uniqueName="[v_sales_detail]" caption="v_sales_detail"/>
    <dimension name="v_target_vs_actual" uniqueName="[v_target_vs_actual]" caption="v_target_vs_actual"/>
  </dimensions>
  <measureGroups count="8">
    <measureGroup name="tb1Months" caption="tb1Months"/>
    <measureGroup name="tb1people" caption="tb1people"/>
    <measureGroup name="v_daily_revenue" caption="v_daily_revenue"/>
    <measureGroup name="v_daily_revenue 1" caption="v_daily_revenue 1"/>
    <measureGroup name="v_monthly_revenue" caption="v_monthly_revenue"/>
    <measureGroup name="v_product_performance" caption="v_product_performance"/>
    <measureGroup name="v_sales_detail" caption="v_sales_detail"/>
    <measureGroup name="v_target_vs_actual" caption="v_target_vs_actual"/>
  </measureGroups>
  <maps count="12">
    <map measureGroup="0" dimension="1"/>
    <map measureGroup="1" dimension="2"/>
    <map measureGroup="2" dimension="3"/>
    <map measureGroup="3" dimension="4"/>
    <map measureGroup="4" dimension="5"/>
    <map measureGroup="5" dimension="6"/>
    <map measureGroup="6" dimension="1"/>
    <map measureGroup="6" dimension="2"/>
    <map measureGroup="6" dimension="7"/>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BD62F4-C8E0-46C4-9E1D-A63F94BFD3C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1Months]"/>
        <x15:activeTabTopLevelEntity name="[tb1people]"/>
        <x15:activeTabTopLevelEntity name="[v_daily_revenue 1]"/>
        <x15:activeTabTopLevelEntity name="[v_sales_detail]"/>
        <x15:activeTabTopLevelEntity name="[v_target_vs_actu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D1FAD-3A1C-41A3-985A-DBDFF2DAA1B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F45" firstHeaderRow="1" firstDataRow="1" firstDataCol="0"/>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6C4687C-A743-4345-A59A-4FFD6827C7D9}" autoFormatId="16" applyNumberFormats="0" applyBorderFormats="0" applyFontFormats="0" applyPatternFormats="0" applyAlignmentFormats="0" applyWidthHeightFormats="0">
  <queryTableRefresh nextId="5">
    <queryTableFields count="4">
      <queryTableField id="1" name="sale_date" tableColumnId="1"/>
      <queryTableField id="2" name="orders" tableColumnId="2"/>
      <queryTableField id="3" name="units" tableColumnId="3"/>
      <queryTableField id="4" name="revenue" tableColumnId="4"/>
    </queryTableFields>
  </queryTableRefresh>
  <extLst>
    <ext xmlns:x15="http://schemas.microsoft.com/office/spreadsheetml/2010/11/main" uri="{883FBD77-0823-4a55-B5E3-86C4891E6966}">
      <x15:queryTable sourceDataName="Query - v_daily_revenu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A1FD0D0-C7C9-467C-AC26-F63B65172348}" autoFormatId="16" applyNumberFormats="0" applyBorderFormats="0" applyFontFormats="0" applyPatternFormats="0" applyAlignmentFormats="0" applyWidthHeightFormats="0">
  <queryTableRefresh nextId="6">
    <queryTableFields count="5">
      <queryTableField id="1" name="sale_year" tableColumnId="1"/>
      <queryTableField id="2" name="sale_month" tableColumnId="2"/>
      <queryTableField id="3" name="month_name" tableColumnId="3"/>
      <queryTableField id="4" name="revenue" tableColumnId="4"/>
      <queryTableField id="5" name="orders" tableColumnId="5"/>
    </queryTableFields>
  </queryTableRefresh>
  <extLst>
    <ext xmlns:x15="http://schemas.microsoft.com/office/spreadsheetml/2010/11/main" uri="{883FBD77-0823-4a55-B5E3-86C4891E6966}">
      <x15:queryTable sourceDataName="Query - v_monthly_revenu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5A606D7-1A65-419A-9FCF-4D579AA906FA}" autoFormatId="16" applyNumberFormats="0" applyBorderFormats="0" applyFontFormats="0" applyPatternFormats="0" applyAlignmentFormats="0" applyWidthHeightFormats="0">
  <queryTableRefresh nextId="5">
    <queryTableFields count="4">
      <queryTableField id="1" name="product_name" tableColumnId="1"/>
      <queryTableField id="2" name="category" tableColumnId="2"/>
      <queryTableField id="3" name="units_sold" tableColumnId="3"/>
      <queryTableField id="4" name="revenue" tableColumnId="4"/>
    </queryTableFields>
  </queryTableRefresh>
  <extLst>
    <ext xmlns:x15="http://schemas.microsoft.com/office/spreadsheetml/2010/11/main" uri="{883FBD77-0823-4a55-B5E3-86C4891E6966}">
      <x15:queryTable sourceDataName="Query - v_product_performanc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025986F-CCD9-433E-B60E-2759D96ED873}" autoFormatId="16" applyNumberFormats="0" applyBorderFormats="0" applyFontFormats="0" applyPatternFormats="0" applyAlignmentFormats="0" applyWidthHeightFormats="0">
  <queryTableRefresh nextId="10">
    <queryTableFields count="9">
      <queryTableField id="1" name="sale_date" tableColumnId="1"/>
      <queryTableField id="2" name="sale_year" tableColumnId="2"/>
      <queryTableField id="3" name="sale_month" tableColumnId="3"/>
      <queryTableField id="4" name="salesperson" tableColumnId="4"/>
      <queryTableField id="5" name="region" tableColumnId="5"/>
      <queryTableField id="6" name="product_name" tableColumnId="6"/>
      <queryTableField id="7" name="category" tableColumnId="7"/>
      <queryTableField id="8" name="quantity" tableColumnId="8"/>
      <queryTableField id="9" name="amount" tableColumnId="9"/>
    </queryTableFields>
  </queryTableRefresh>
  <extLst>
    <ext xmlns:x15="http://schemas.microsoft.com/office/spreadsheetml/2010/11/main" uri="{883FBD77-0823-4a55-B5E3-86C4891E6966}">
      <x15:queryTable sourceDataName="Query - v_sales_detail"/>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5B3BA82B-08F3-4A89-9257-3FFE6D0519F2}" autoFormatId="16" applyNumberFormats="0" applyBorderFormats="0" applyFontFormats="0" applyPatternFormats="0" applyAlignmentFormats="0" applyWidthHeightFormats="0">
  <queryTableRefresh nextId="9">
    <queryTableFields count="8">
      <queryTableField id="1" name="salesperson" tableColumnId="1"/>
      <queryTableField id="2" name="region" tableColumnId="2"/>
      <queryTableField id="3" name="target_year" tableColumnId="3"/>
      <queryTableField id="4" name="target_month" tableColumnId="4"/>
      <queryTableField id="5" name="target_amount" tableColumnId="5"/>
      <queryTableField id="6" name="actual_amount" tableColumnId="6"/>
      <queryTableField id="7" name="achievement_pct" tableColumnId="7"/>
      <queryTableField id="8" name="status" tableColumnId="8"/>
    </queryTableFields>
  </queryTableRefresh>
  <extLst>
    <ext xmlns:x15="http://schemas.microsoft.com/office/spreadsheetml/2010/11/main" uri="{883FBD77-0823-4a55-B5E3-86C4891E6966}">
      <x15:queryTable sourceDataName="Query - v_target_vs_actual"/>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C20F38-4BF3-4816-9A37-0896B5C11E61}" name="v_daily_revenue" displayName="v_daily_revenue" ref="A1:D304" tableType="queryTable" totalsRowShown="0">
  <autoFilter ref="A1:D304" xr:uid="{DDC20F38-4BF3-4816-9A37-0896B5C11E61}"/>
  <tableColumns count="4">
    <tableColumn id="1" xr3:uid="{FE3AB629-D0F9-411C-96DD-C58539ED5FFA}" uniqueName="1" name="sale_date" queryTableFieldId="1" dataDxfId="15"/>
    <tableColumn id="2" xr3:uid="{C534A995-C15E-4488-929F-EA7B70C31BE5}" uniqueName="2" name="orders" queryTableFieldId="2"/>
    <tableColumn id="3" xr3:uid="{CF99795A-955F-4253-AFF5-A5799310FB26}" uniqueName="3" name="units" queryTableFieldId="3"/>
    <tableColumn id="4" xr3:uid="{FA29AC37-FE01-4526-8E1D-67CC012F14B4}" uniqueName="4" name="revenue" queryTableFieldId="4"/>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F92BE1-71F5-4126-9B55-8A4D56FEEE1F}" name="v_monthly_revenue" displayName="v_monthly_revenue" ref="A1:E11" tableType="queryTable" totalsRowShown="0">
  <autoFilter ref="A1:E11" xr:uid="{18F92BE1-71F5-4126-9B55-8A4D56FEEE1F}"/>
  <tableColumns count="5">
    <tableColumn id="1" xr3:uid="{2EBABE01-0866-424F-A119-DABE71260C1A}" uniqueName="1" name="sale_year" queryTableFieldId="1"/>
    <tableColumn id="2" xr3:uid="{152473FC-7F15-46B4-B36F-167C241CBE47}" uniqueName="2" name="sale_month" queryTableFieldId="2"/>
    <tableColumn id="3" xr3:uid="{CA1A8D10-8F28-45E8-A360-85583BE5DC75}" uniqueName="3" name="month_name" queryTableFieldId="3" dataDxfId="14"/>
    <tableColumn id="4" xr3:uid="{23765763-B42E-4384-B173-1B3313D0FAD9}" uniqueName="4" name="revenue" queryTableFieldId="4"/>
    <tableColumn id="5" xr3:uid="{B2DCC12D-2828-43A6-842B-AC2609CE78ED}" uniqueName="5" name="orders"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A91786-3B43-46BE-9B2E-E1A7DD5F7985}" name="tb1Months" displayName="tb1Months" ref="A1:B13" totalsRowShown="0">
  <autoFilter ref="A1:B13" xr:uid="{C9A91786-3B43-46BE-9B2E-E1A7DD5F7985}"/>
  <tableColumns count="2">
    <tableColumn id="1" xr3:uid="{47454E69-BC90-4245-BC67-D3314995AB63}" name="month_no"/>
    <tableColumn id="2" xr3:uid="{00B903C3-7C0B-432A-91A0-DCCCC6DD6818}" name="month_label" dataDxfId="13">
      <calculatedColumnFormula>TEXT(DATE(2026,A2,1),"MM MMM")</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401CEE-8D09-45D3-AC7F-23BD8EACA93B}" name="tb1people" displayName="tb1people" ref="D1:E9" totalsRowShown="0" dataDxfId="12">
  <autoFilter ref="D1:E9" xr:uid="{0C401CEE-8D09-45D3-AC7F-23BD8EACA93B}"/>
  <tableColumns count="2">
    <tableColumn id="1" xr3:uid="{E7106338-A5DC-4884-8C31-0158CD61277D}" name="salesperson" dataDxfId="11"/>
    <tableColumn id="2" xr3:uid="{503ED98F-AC7A-453A-AF8E-F2C5AD75AD54}" name="region"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EA8F18-C948-42F6-AA25-D801F2E842D6}" name="v_product_performance" displayName="v_product_performance" ref="A1:D13" tableType="queryTable" totalsRowShown="0">
  <autoFilter ref="A1:D13" xr:uid="{F4EA8F18-C948-42F6-AA25-D801F2E842D6}"/>
  <tableColumns count="4">
    <tableColumn id="1" xr3:uid="{13361581-3706-4312-9AA1-03F79330D8A0}" uniqueName="1" name="product_name" queryTableFieldId="1" dataDxfId="9"/>
    <tableColumn id="2" xr3:uid="{57A43AEE-109C-471B-BE21-77F8F76AE7C0}" uniqueName="2" name="category" queryTableFieldId="2" dataDxfId="8"/>
    <tableColumn id="3" xr3:uid="{51D383DF-E0AB-4A84-9B64-8AB45D4E4149}" uniqueName="3" name="units_sold" queryTableFieldId="3"/>
    <tableColumn id="4" xr3:uid="{54F378F1-1F6E-4809-8327-DCF67ECB955E}" uniqueName="4" name="revenue"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0A0BE1-DB73-4902-9A1D-BE187E03DEA4}" name="v_sales_detail" displayName="v_sales_detail" ref="A1:I3001" tableType="queryTable" totalsRowShown="0">
  <autoFilter ref="A1:I3001" xr:uid="{DA0A0BE1-DB73-4902-9A1D-BE187E03DEA4}"/>
  <tableColumns count="9">
    <tableColumn id="1" xr3:uid="{026AFC55-360C-4328-B61F-4C980E0DC493}" uniqueName="1" name="sale_date" queryTableFieldId="1" dataDxfId="7"/>
    <tableColumn id="2" xr3:uid="{575B10F0-A356-4E64-ADF3-E2A06FCB2E99}" uniqueName="2" name="sale_year" queryTableFieldId="2"/>
    <tableColumn id="3" xr3:uid="{BCDE5AC8-CB79-41FB-B05A-4F1DC5AE8B9E}" uniqueName="3" name="sale_month" queryTableFieldId="3"/>
    <tableColumn id="4" xr3:uid="{0D92C2EF-DD67-485C-8CCA-120452CA2480}" uniqueName="4" name="salesperson" queryTableFieldId="4" dataDxfId="6"/>
    <tableColumn id="5" xr3:uid="{4E8E7707-595F-47B4-8BD8-2220F85BDDC2}" uniqueName="5" name="region" queryTableFieldId="5" dataDxfId="5"/>
    <tableColumn id="6" xr3:uid="{4E6AB7D0-EC98-4108-A7A8-C08D53B55BD4}" uniqueName="6" name="product_name" queryTableFieldId="6" dataDxfId="4"/>
    <tableColumn id="7" xr3:uid="{EE45B3D8-E57C-4659-A1F0-3BD25CE66978}" uniqueName="7" name="category" queryTableFieldId="7" dataDxfId="3"/>
    <tableColumn id="8" xr3:uid="{03761898-56A2-4673-BE07-74E07C3EF476}" uniqueName="8" name="quantity" queryTableFieldId="8"/>
    <tableColumn id="9" xr3:uid="{C6711E35-675C-4214-B40E-9A5E9D34CDE4}" uniqueName="9" name="amount"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EB14AB-333D-42F5-9A53-1D04D7EDD786}" name="v_target_vs_actual" displayName="v_target_vs_actual" ref="A1:H81" tableType="queryTable" totalsRowShown="0">
  <autoFilter ref="A1:H81" xr:uid="{C1EB14AB-333D-42F5-9A53-1D04D7EDD786}"/>
  <tableColumns count="8">
    <tableColumn id="1" xr3:uid="{BFCF23AE-FC83-4F6F-A72F-EAD1721E924B}" uniqueName="1" name="salesperson" queryTableFieldId="1" dataDxfId="2"/>
    <tableColumn id="2" xr3:uid="{5C643EC6-A12C-41C8-AA51-190A32A3B3D9}" uniqueName="2" name="region" queryTableFieldId="2" dataDxfId="1"/>
    <tableColumn id="3" xr3:uid="{5253B71D-46AE-44CE-8A54-880381F761E2}" uniqueName="3" name="target_year" queryTableFieldId="3"/>
    <tableColumn id="4" xr3:uid="{DA2637BE-4F32-4529-9D4D-41A9760EC75F}" uniqueName="4" name="target_month" queryTableFieldId="4"/>
    <tableColumn id="5" xr3:uid="{35B51CA6-F583-4F65-9B10-A8830CA014C8}" uniqueName="5" name="target_amount" queryTableFieldId="5"/>
    <tableColumn id="6" xr3:uid="{BD596822-6084-4310-BDE6-A40C810DD806}" uniqueName="6" name="actual_amount" queryTableFieldId="6"/>
    <tableColumn id="7" xr3:uid="{48F81083-0BDD-4CB7-8291-0F1FC58D9D28}" uniqueName="7" name="achievement_pct" queryTableFieldId="7"/>
    <tableColumn id="8" xr3:uid="{69DA21AD-F898-4B74-A34C-E33A89C60374}" uniqueName="8" name="status"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4C51C-F255-45EA-BCE2-A69E68F656A6}">
  <sheetPr codeName="Sheet1"/>
  <dimension ref="A1:D304"/>
  <sheetViews>
    <sheetView topLeftCell="A30" workbookViewId="0">
      <pane ySplit="1" topLeftCell="A2" activePane="bottomLeft" state="frozen"/>
      <selection pane="bottomLeft" activeCell="A2" sqref="A2"/>
    </sheetView>
  </sheetViews>
  <sheetFormatPr defaultRowHeight="14.4" x14ac:dyDescent="0.3"/>
  <cols>
    <col min="1" max="1" width="11.21875" bestFit="1" customWidth="1"/>
    <col min="2" max="2" width="8.5546875" bestFit="1" customWidth="1"/>
    <col min="3" max="3" width="7.33203125" bestFit="1" customWidth="1"/>
    <col min="4" max="4" width="10.109375" bestFit="1" customWidth="1"/>
  </cols>
  <sheetData>
    <row r="1" spans="1:4" x14ac:dyDescent="0.3">
      <c r="A1" t="s">
        <v>0</v>
      </c>
      <c r="B1" t="s">
        <v>1</v>
      </c>
      <c r="C1" t="s">
        <v>2</v>
      </c>
      <c r="D1" t="s">
        <v>3</v>
      </c>
    </row>
    <row r="2" spans="1:4" x14ac:dyDescent="0.3">
      <c r="A2" s="1">
        <v>46035</v>
      </c>
      <c r="B2">
        <v>15</v>
      </c>
      <c r="C2">
        <v>50</v>
      </c>
      <c r="D2">
        <v>612100</v>
      </c>
    </row>
    <row r="3" spans="1:4" x14ac:dyDescent="0.3">
      <c r="A3" s="1">
        <v>46120</v>
      </c>
      <c r="B3">
        <v>12</v>
      </c>
      <c r="C3">
        <v>39</v>
      </c>
      <c r="D3">
        <v>549400</v>
      </c>
    </row>
    <row r="4" spans="1:4" x14ac:dyDescent="0.3">
      <c r="A4" s="1">
        <v>46249</v>
      </c>
      <c r="B4">
        <v>15</v>
      </c>
      <c r="C4">
        <v>41</v>
      </c>
      <c r="D4">
        <v>932800</v>
      </c>
    </row>
    <row r="5" spans="1:4" x14ac:dyDescent="0.3">
      <c r="A5" s="1">
        <v>46277</v>
      </c>
      <c r="B5">
        <v>10</v>
      </c>
      <c r="C5">
        <v>35</v>
      </c>
      <c r="D5">
        <v>553800</v>
      </c>
    </row>
    <row r="6" spans="1:4" x14ac:dyDescent="0.3">
      <c r="A6" s="1">
        <v>46051</v>
      </c>
      <c r="B6">
        <v>12</v>
      </c>
      <c r="C6">
        <v>47</v>
      </c>
      <c r="D6">
        <v>423700</v>
      </c>
    </row>
    <row r="7" spans="1:4" x14ac:dyDescent="0.3">
      <c r="A7" s="1">
        <v>46180</v>
      </c>
      <c r="B7">
        <v>11</v>
      </c>
      <c r="C7">
        <v>31</v>
      </c>
      <c r="D7">
        <v>451500</v>
      </c>
    </row>
    <row r="8" spans="1:4" x14ac:dyDescent="0.3">
      <c r="A8" s="1">
        <v>46063</v>
      </c>
      <c r="B8">
        <v>13</v>
      </c>
      <c r="C8">
        <v>42</v>
      </c>
      <c r="D8">
        <v>266200</v>
      </c>
    </row>
    <row r="9" spans="1:4" x14ac:dyDescent="0.3">
      <c r="A9" s="1">
        <v>46324</v>
      </c>
      <c r="B9">
        <v>6</v>
      </c>
      <c r="C9">
        <v>18</v>
      </c>
      <c r="D9">
        <v>100200</v>
      </c>
    </row>
    <row r="10" spans="1:4" x14ac:dyDescent="0.3">
      <c r="A10" s="1">
        <v>46056</v>
      </c>
      <c r="B10">
        <v>5</v>
      </c>
      <c r="C10">
        <v>13</v>
      </c>
      <c r="D10">
        <v>103200</v>
      </c>
    </row>
    <row r="11" spans="1:4" x14ac:dyDescent="0.3">
      <c r="A11" s="1">
        <v>46060</v>
      </c>
      <c r="B11">
        <v>6</v>
      </c>
      <c r="C11">
        <v>18</v>
      </c>
      <c r="D11">
        <v>297600</v>
      </c>
    </row>
    <row r="12" spans="1:4" x14ac:dyDescent="0.3">
      <c r="A12" s="1">
        <v>46133</v>
      </c>
      <c r="B12">
        <v>13</v>
      </c>
      <c r="C12">
        <v>39</v>
      </c>
      <c r="D12">
        <v>280900</v>
      </c>
    </row>
    <row r="13" spans="1:4" x14ac:dyDescent="0.3">
      <c r="A13" s="1">
        <v>46147</v>
      </c>
      <c r="B13">
        <v>7</v>
      </c>
      <c r="C13">
        <v>19</v>
      </c>
      <c r="D13">
        <v>210000</v>
      </c>
    </row>
    <row r="14" spans="1:4" x14ac:dyDescent="0.3">
      <c r="A14" s="1">
        <v>46100</v>
      </c>
      <c r="B14">
        <v>8</v>
      </c>
      <c r="C14">
        <v>22</v>
      </c>
      <c r="D14">
        <v>306500</v>
      </c>
    </row>
    <row r="15" spans="1:4" x14ac:dyDescent="0.3">
      <c r="A15" s="1">
        <v>46254</v>
      </c>
      <c r="B15">
        <v>10</v>
      </c>
      <c r="C15">
        <v>32</v>
      </c>
      <c r="D15">
        <v>404700</v>
      </c>
    </row>
    <row r="16" spans="1:4" x14ac:dyDescent="0.3">
      <c r="A16" s="1">
        <v>46126</v>
      </c>
      <c r="B16">
        <v>9</v>
      </c>
      <c r="C16">
        <v>23</v>
      </c>
      <c r="D16">
        <v>120500</v>
      </c>
    </row>
    <row r="17" spans="1:4" x14ac:dyDescent="0.3">
      <c r="A17" s="1">
        <v>46227</v>
      </c>
      <c r="B17">
        <v>14</v>
      </c>
      <c r="C17">
        <v>39</v>
      </c>
      <c r="D17">
        <v>291900</v>
      </c>
    </row>
    <row r="18" spans="1:4" x14ac:dyDescent="0.3">
      <c r="A18" s="1">
        <v>46032</v>
      </c>
      <c r="B18">
        <v>8</v>
      </c>
      <c r="C18">
        <v>28</v>
      </c>
      <c r="D18">
        <v>661000</v>
      </c>
    </row>
    <row r="19" spans="1:4" x14ac:dyDescent="0.3">
      <c r="A19" s="1">
        <v>46142</v>
      </c>
      <c r="B19">
        <v>7</v>
      </c>
      <c r="C19">
        <v>20</v>
      </c>
      <c r="D19">
        <v>141700</v>
      </c>
    </row>
    <row r="20" spans="1:4" x14ac:dyDescent="0.3">
      <c r="A20" s="1">
        <v>46102</v>
      </c>
      <c r="B20">
        <v>9</v>
      </c>
      <c r="C20">
        <v>29</v>
      </c>
      <c r="D20">
        <v>594900</v>
      </c>
    </row>
    <row r="21" spans="1:4" x14ac:dyDescent="0.3">
      <c r="A21" s="1">
        <v>46093</v>
      </c>
      <c r="B21">
        <v>17</v>
      </c>
      <c r="C21">
        <v>51</v>
      </c>
      <c r="D21">
        <v>1041400</v>
      </c>
    </row>
    <row r="22" spans="1:4" x14ac:dyDescent="0.3">
      <c r="A22" s="1">
        <v>46231</v>
      </c>
      <c r="B22">
        <v>6</v>
      </c>
      <c r="C22">
        <v>16</v>
      </c>
      <c r="D22">
        <v>69600</v>
      </c>
    </row>
    <row r="23" spans="1:4" x14ac:dyDescent="0.3">
      <c r="A23" s="1">
        <v>46245</v>
      </c>
      <c r="B23">
        <v>19</v>
      </c>
      <c r="C23">
        <v>52</v>
      </c>
      <c r="D23">
        <v>472600</v>
      </c>
    </row>
    <row r="24" spans="1:4" x14ac:dyDescent="0.3">
      <c r="A24" s="1">
        <v>46091</v>
      </c>
      <c r="B24">
        <v>10</v>
      </c>
      <c r="C24">
        <v>34</v>
      </c>
      <c r="D24">
        <v>163900</v>
      </c>
    </row>
    <row r="25" spans="1:4" x14ac:dyDescent="0.3">
      <c r="A25" s="1">
        <v>46099</v>
      </c>
      <c r="B25">
        <v>14</v>
      </c>
      <c r="C25">
        <v>36</v>
      </c>
      <c r="D25">
        <v>265300</v>
      </c>
    </row>
    <row r="26" spans="1:4" x14ac:dyDescent="0.3">
      <c r="A26" s="1">
        <v>46192</v>
      </c>
      <c r="B26">
        <v>8</v>
      </c>
      <c r="C26">
        <v>27</v>
      </c>
      <c r="D26">
        <v>257100</v>
      </c>
    </row>
    <row r="27" spans="1:4" x14ac:dyDescent="0.3">
      <c r="A27" s="1">
        <v>46182</v>
      </c>
      <c r="B27">
        <v>12</v>
      </c>
      <c r="C27">
        <v>39</v>
      </c>
      <c r="D27">
        <v>403300</v>
      </c>
    </row>
    <row r="28" spans="1:4" x14ac:dyDescent="0.3">
      <c r="A28" s="1">
        <v>46247</v>
      </c>
      <c r="B28">
        <v>14</v>
      </c>
      <c r="C28">
        <v>33</v>
      </c>
      <c r="D28">
        <v>325600</v>
      </c>
    </row>
    <row r="29" spans="1:4" x14ac:dyDescent="0.3">
      <c r="A29" s="1">
        <v>46096</v>
      </c>
      <c r="B29">
        <v>9</v>
      </c>
      <c r="C29">
        <v>31</v>
      </c>
      <c r="D29">
        <v>235400</v>
      </c>
    </row>
    <row r="30" spans="1:4" x14ac:dyDescent="0.3">
      <c r="A30" s="1">
        <v>46288</v>
      </c>
      <c r="B30">
        <v>11</v>
      </c>
      <c r="C30">
        <v>35</v>
      </c>
      <c r="D30">
        <v>332100</v>
      </c>
    </row>
    <row r="31" spans="1:4" x14ac:dyDescent="0.3">
      <c r="A31" s="1">
        <v>46198</v>
      </c>
      <c r="B31">
        <v>14</v>
      </c>
      <c r="C31">
        <v>39</v>
      </c>
      <c r="D31">
        <v>207100</v>
      </c>
    </row>
    <row r="32" spans="1:4" x14ac:dyDescent="0.3">
      <c r="A32" s="1">
        <v>46140</v>
      </c>
      <c r="B32">
        <v>12</v>
      </c>
      <c r="C32">
        <v>32</v>
      </c>
      <c r="D32">
        <v>195000</v>
      </c>
    </row>
    <row r="33" spans="1:4" x14ac:dyDescent="0.3">
      <c r="A33" s="1">
        <v>46059</v>
      </c>
      <c r="B33">
        <v>11</v>
      </c>
      <c r="C33">
        <v>35</v>
      </c>
      <c r="D33">
        <v>543900</v>
      </c>
    </row>
    <row r="34" spans="1:4" x14ac:dyDescent="0.3">
      <c r="A34" s="1">
        <v>46243</v>
      </c>
      <c r="B34">
        <v>3</v>
      </c>
      <c r="C34">
        <v>7</v>
      </c>
      <c r="D34">
        <v>287600</v>
      </c>
    </row>
    <row r="35" spans="1:4" x14ac:dyDescent="0.3">
      <c r="A35" s="1">
        <v>46122</v>
      </c>
      <c r="B35">
        <v>10</v>
      </c>
      <c r="C35">
        <v>29</v>
      </c>
      <c r="D35">
        <v>269600</v>
      </c>
    </row>
    <row r="36" spans="1:4" x14ac:dyDescent="0.3">
      <c r="A36" s="1">
        <v>46262</v>
      </c>
      <c r="B36">
        <v>15</v>
      </c>
      <c r="C36">
        <v>49</v>
      </c>
      <c r="D36">
        <v>899500</v>
      </c>
    </row>
    <row r="37" spans="1:4" x14ac:dyDescent="0.3">
      <c r="A37" s="1">
        <v>46125</v>
      </c>
      <c r="B37">
        <v>10</v>
      </c>
      <c r="C37">
        <v>35</v>
      </c>
      <c r="D37">
        <v>277400</v>
      </c>
    </row>
    <row r="38" spans="1:4" x14ac:dyDescent="0.3">
      <c r="A38" s="1">
        <v>46276</v>
      </c>
      <c r="B38">
        <v>13</v>
      </c>
      <c r="C38">
        <v>35</v>
      </c>
      <c r="D38">
        <v>447500</v>
      </c>
    </row>
    <row r="39" spans="1:4" x14ac:dyDescent="0.3">
      <c r="A39" s="1">
        <v>46294</v>
      </c>
      <c r="B39">
        <v>10</v>
      </c>
      <c r="C39">
        <v>29</v>
      </c>
      <c r="D39">
        <v>592900</v>
      </c>
    </row>
    <row r="40" spans="1:4" x14ac:dyDescent="0.3">
      <c r="A40" s="1">
        <v>46311</v>
      </c>
      <c r="B40">
        <v>13</v>
      </c>
      <c r="C40">
        <v>44</v>
      </c>
      <c r="D40">
        <v>332200</v>
      </c>
    </row>
    <row r="41" spans="1:4" x14ac:dyDescent="0.3">
      <c r="A41" s="1">
        <v>46203</v>
      </c>
      <c r="B41">
        <v>14</v>
      </c>
      <c r="C41">
        <v>41</v>
      </c>
      <c r="D41">
        <v>370800</v>
      </c>
    </row>
    <row r="42" spans="1:4" x14ac:dyDescent="0.3">
      <c r="A42" s="1">
        <v>46039</v>
      </c>
      <c r="B42">
        <v>8</v>
      </c>
      <c r="C42">
        <v>24</v>
      </c>
      <c r="D42">
        <v>207700</v>
      </c>
    </row>
    <row r="43" spans="1:4" x14ac:dyDescent="0.3">
      <c r="A43" s="1">
        <v>46044</v>
      </c>
      <c r="B43">
        <v>12</v>
      </c>
      <c r="C43">
        <v>38</v>
      </c>
      <c r="D43">
        <v>597000</v>
      </c>
    </row>
    <row r="44" spans="1:4" x14ac:dyDescent="0.3">
      <c r="A44" s="1">
        <v>46143</v>
      </c>
      <c r="B44">
        <v>15</v>
      </c>
      <c r="C44">
        <v>42</v>
      </c>
      <c r="D44">
        <v>535900</v>
      </c>
    </row>
    <row r="45" spans="1:4" x14ac:dyDescent="0.3">
      <c r="A45" s="1">
        <v>46269</v>
      </c>
      <c r="B45">
        <v>14</v>
      </c>
      <c r="C45">
        <v>33</v>
      </c>
      <c r="D45">
        <v>556900</v>
      </c>
    </row>
    <row r="46" spans="1:4" x14ac:dyDescent="0.3">
      <c r="A46" s="1">
        <v>46138</v>
      </c>
      <c r="B46">
        <v>6</v>
      </c>
      <c r="C46">
        <v>20</v>
      </c>
      <c r="D46">
        <v>144500</v>
      </c>
    </row>
    <row r="47" spans="1:4" x14ac:dyDescent="0.3">
      <c r="A47" s="1">
        <v>46194</v>
      </c>
      <c r="B47">
        <v>11</v>
      </c>
      <c r="C47">
        <v>29</v>
      </c>
      <c r="D47">
        <v>202000</v>
      </c>
    </row>
    <row r="48" spans="1:4" x14ac:dyDescent="0.3">
      <c r="A48" s="1">
        <v>46224</v>
      </c>
      <c r="B48">
        <v>14</v>
      </c>
      <c r="C48">
        <v>36</v>
      </c>
      <c r="D48">
        <v>454800</v>
      </c>
    </row>
    <row r="49" spans="1:4" x14ac:dyDescent="0.3">
      <c r="A49" s="1">
        <v>46052</v>
      </c>
      <c r="B49">
        <v>9</v>
      </c>
      <c r="C49">
        <v>28</v>
      </c>
      <c r="D49">
        <v>467100</v>
      </c>
    </row>
    <row r="50" spans="1:4" x14ac:dyDescent="0.3">
      <c r="A50" s="1">
        <v>46212</v>
      </c>
      <c r="B50">
        <v>7</v>
      </c>
      <c r="C50">
        <v>23</v>
      </c>
      <c r="D50">
        <v>154200</v>
      </c>
    </row>
    <row r="51" spans="1:4" x14ac:dyDescent="0.3">
      <c r="A51" s="1">
        <v>46061</v>
      </c>
      <c r="B51">
        <v>9</v>
      </c>
      <c r="C51">
        <v>24</v>
      </c>
      <c r="D51">
        <v>271300</v>
      </c>
    </row>
    <row r="52" spans="1:4" x14ac:dyDescent="0.3">
      <c r="A52" s="1">
        <v>46033</v>
      </c>
      <c r="B52">
        <v>7</v>
      </c>
      <c r="C52">
        <v>20</v>
      </c>
      <c r="D52">
        <v>283700</v>
      </c>
    </row>
    <row r="53" spans="1:4" x14ac:dyDescent="0.3">
      <c r="A53" s="1">
        <v>46302</v>
      </c>
      <c r="B53">
        <v>13</v>
      </c>
      <c r="C53">
        <v>41</v>
      </c>
      <c r="D53">
        <v>280500</v>
      </c>
    </row>
    <row r="54" spans="1:4" x14ac:dyDescent="0.3">
      <c r="A54" s="1">
        <v>46295</v>
      </c>
      <c r="B54">
        <v>6</v>
      </c>
      <c r="C54">
        <v>17</v>
      </c>
      <c r="D54">
        <v>314000</v>
      </c>
    </row>
    <row r="55" spans="1:4" x14ac:dyDescent="0.3">
      <c r="A55" s="1">
        <v>46299</v>
      </c>
      <c r="B55">
        <v>9</v>
      </c>
      <c r="C55">
        <v>24</v>
      </c>
      <c r="D55">
        <v>187400</v>
      </c>
    </row>
    <row r="56" spans="1:4" x14ac:dyDescent="0.3">
      <c r="A56" s="1">
        <v>46069</v>
      </c>
      <c r="B56">
        <v>9</v>
      </c>
      <c r="C56">
        <v>27</v>
      </c>
      <c r="D56">
        <v>201200</v>
      </c>
    </row>
    <row r="57" spans="1:4" x14ac:dyDescent="0.3">
      <c r="A57" s="1">
        <v>46250</v>
      </c>
      <c r="B57">
        <v>10</v>
      </c>
      <c r="C57">
        <v>35</v>
      </c>
      <c r="D57">
        <v>245400</v>
      </c>
    </row>
    <row r="58" spans="1:4" ht="13.8" customHeight="1" x14ac:dyDescent="0.3">
      <c r="A58" s="1">
        <v>46210</v>
      </c>
      <c r="B58">
        <v>11</v>
      </c>
      <c r="C58">
        <v>32</v>
      </c>
      <c r="D58">
        <v>432200</v>
      </c>
    </row>
    <row r="59" spans="1:4" x14ac:dyDescent="0.3">
      <c r="A59" s="1">
        <v>46220</v>
      </c>
      <c r="B59">
        <v>11</v>
      </c>
      <c r="C59">
        <v>39</v>
      </c>
      <c r="D59">
        <v>284300</v>
      </c>
    </row>
    <row r="60" spans="1:4" x14ac:dyDescent="0.3">
      <c r="A60" s="1">
        <v>46181</v>
      </c>
      <c r="B60">
        <v>4</v>
      </c>
      <c r="C60">
        <v>10</v>
      </c>
      <c r="D60">
        <v>113700</v>
      </c>
    </row>
    <row r="61" spans="1:4" x14ac:dyDescent="0.3">
      <c r="A61" s="1">
        <v>46259</v>
      </c>
      <c r="B61">
        <v>7</v>
      </c>
      <c r="C61">
        <v>24</v>
      </c>
      <c r="D61">
        <v>163100</v>
      </c>
    </row>
    <row r="62" spans="1:4" x14ac:dyDescent="0.3">
      <c r="A62" s="1">
        <v>46266</v>
      </c>
      <c r="B62">
        <v>7</v>
      </c>
      <c r="C62">
        <v>24</v>
      </c>
      <c r="D62">
        <v>615700</v>
      </c>
    </row>
    <row r="63" spans="1:4" x14ac:dyDescent="0.3">
      <c r="A63" s="1">
        <v>46255</v>
      </c>
      <c r="B63">
        <v>12</v>
      </c>
      <c r="C63">
        <v>36</v>
      </c>
      <c r="D63">
        <v>590300</v>
      </c>
    </row>
    <row r="64" spans="1:4" x14ac:dyDescent="0.3">
      <c r="A64" s="1">
        <v>46265</v>
      </c>
      <c r="B64">
        <v>8</v>
      </c>
      <c r="C64">
        <v>31</v>
      </c>
      <c r="D64">
        <v>140800</v>
      </c>
    </row>
    <row r="65" spans="1:4" x14ac:dyDescent="0.3">
      <c r="A65" s="1">
        <v>46246</v>
      </c>
      <c r="B65">
        <v>12</v>
      </c>
      <c r="C65">
        <v>36</v>
      </c>
      <c r="D65">
        <v>541900</v>
      </c>
    </row>
    <row r="66" spans="1:4" x14ac:dyDescent="0.3">
      <c r="A66" s="1">
        <v>46301</v>
      </c>
      <c r="B66">
        <v>12</v>
      </c>
      <c r="C66">
        <v>44</v>
      </c>
      <c r="D66">
        <v>458200</v>
      </c>
    </row>
    <row r="67" spans="1:4" x14ac:dyDescent="0.3">
      <c r="A67" s="1">
        <v>46273</v>
      </c>
      <c r="B67">
        <v>9</v>
      </c>
      <c r="C67">
        <v>23</v>
      </c>
      <c r="D67">
        <v>126400</v>
      </c>
    </row>
    <row r="68" spans="1:4" x14ac:dyDescent="0.3">
      <c r="A68" s="1">
        <v>46115</v>
      </c>
      <c r="B68">
        <v>12</v>
      </c>
      <c r="C68">
        <v>38</v>
      </c>
      <c r="D68">
        <v>766800</v>
      </c>
    </row>
    <row r="69" spans="1:4" x14ac:dyDescent="0.3">
      <c r="A69" s="1">
        <v>46238</v>
      </c>
      <c r="B69">
        <v>10</v>
      </c>
      <c r="C69">
        <v>27</v>
      </c>
      <c r="D69">
        <v>374900</v>
      </c>
    </row>
    <row r="70" spans="1:4" x14ac:dyDescent="0.3">
      <c r="A70" s="1">
        <v>46053</v>
      </c>
      <c r="B70">
        <v>11</v>
      </c>
      <c r="C70">
        <v>26</v>
      </c>
      <c r="D70">
        <v>294600</v>
      </c>
    </row>
    <row r="71" spans="1:4" x14ac:dyDescent="0.3">
      <c r="A71" s="1">
        <v>46132</v>
      </c>
      <c r="B71">
        <v>5</v>
      </c>
      <c r="C71">
        <v>11</v>
      </c>
      <c r="D71">
        <v>95700</v>
      </c>
    </row>
    <row r="72" spans="1:4" x14ac:dyDescent="0.3">
      <c r="A72" s="1">
        <v>46189</v>
      </c>
      <c r="B72">
        <v>11</v>
      </c>
      <c r="C72">
        <v>36</v>
      </c>
      <c r="D72">
        <v>253100</v>
      </c>
    </row>
    <row r="73" spans="1:4" x14ac:dyDescent="0.3">
      <c r="A73" s="1">
        <v>46240</v>
      </c>
      <c r="B73">
        <v>16</v>
      </c>
      <c r="C73">
        <v>46</v>
      </c>
      <c r="D73">
        <v>498700</v>
      </c>
    </row>
    <row r="74" spans="1:4" x14ac:dyDescent="0.3">
      <c r="A74" s="1">
        <v>46108</v>
      </c>
      <c r="B74">
        <v>4</v>
      </c>
      <c r="C74">
        <v>15</v>
      </c>
      <c r="D74">
        <v>70000</v>
      </c>
    </row>
    <row r="75" spans="1:4" x14ac:dyDescent="0.3">
      <c r="A75" s="1">
        <v>46043</v>
      </c>
      <c r="B75">
        <v>11</v>
      </c>
      <c r="C75">
        <v>33</v>
      </c>
      <c r="D75">
        <v>268400</v>
      </c>
    </row>
    <row r="76" spans="1:4" x14ac:dyDescent="0.3">
      <c r="A76" s="1">
        <v>46271</v>
      </c>
      <c r="B76">
        <v>6</v>
      </c>
      <c r="C76">
        <v>14</v>
      </c>
      <c r="D76">
        <v>64400</v>
      </c>
    </row>
    <row r="77" spans="1:4" x14ac:dyDescent="0.3">
      <c r="A77" s="1">
        <v>46129</v>
      </c>
      <c r="B77">
        <v>13</v>
      </c>
      <c r="C77">
        <v>47</v>
      </c>
      <c r="D77">
        <v>639700</v>
      </c>
    </row>
    <row r="78" spans="1:4" x14ac:dyDescent="0.3">
      <c r="A78" s="1">
        <v>46167</v>
      </c>
      <c r="B78">
        <v>7</v>
      </c>
      <c r="C78">
        <v>20</v>
      </c>
      <c r="D78">
        <v>150600</v>
      </c>
    </row>
    <row r="79" spans="1:4" x14ac:dyDescent="0.3">
      <c r="A79" s="1">
        <v>46215</v>
      </c>
      <c r="B79">
        <v>16</v>
      </c>
      <c r="C79">
        <v>44</v>
      </c>
      <c r="D79">
        <v>727200</v>
      </c>
    </row>
    <row r="80" spans="1:4" x14ac:dyDescent="0.3">
      <c r="A80" s="1">
        <v>46239</v>
      </c>
      <c r="B80">
        <v>11</v>
      </c>
      <c r="C80">
        <v>33</v>
      </c>
      <c r="D80">
        <v>208700</v>
      </c>
    </row>
    <row r="81" spans="1:4" x14ac:dyDescent="0.3">
      <c r="A81" s="1">
        <v>46202</v>
      </c>
      <c r="B81">
        <v>8</v>
      </c>
      <c r="C81">
        <v>29</v>
      </c>
      <c r="D81">
        <v>152900</v>
      </c>
    </row>
    <row r="82" spans="1:4" x14ac:dyDescent="0.3">
      <c r="A82" s="1">
        <v>46186</v>
      </c>
      <c r="B82">
        <v>10</v>
      </c>
      <c r="C82">
        <v>33</v>
      </c>
      <c r="D82">
        <v>294900</v>
      </c>
    </row>
    <row r="83" spans="1:4" x14ac:dyDescent="0.3">
      <c r="A83" s="1">
        <v>46097</v>
      </c>
      <c r="B83">
        <v>7</v>
      </c>
      <c r="C83">
        <v>21</v>
      </c>
      <c r="D83">
        <v>105400</v>
      </c>
    </row>
    <row r="84" spans="1:4" x14ac:dyDescent="0.3">
      <c r="A84" s="1">
        <v>46116</v>
      </c>
      <c r="B84">
        <v>10</v>
      </c>
      <c r="C84">
        <v>29</v>
      </c>
      <c r="D84">
        <v>132000</v>
      </c>
    </row>
    <row r="85" spans="1:4" x14ac:dyDescent="0.3">
      <c r="A85" s="1">
        <v>46082</v>
      </c>
      <c r="B85">
        <v>10</v>
      </c>
      <c r="C85">
        <v>30</v>
      </c>
      <c r="D85">
        <v>443500</v>
      </c>
    </row>
    <row r="86" spans="1:4" x14ac:dyDescent="0.3">
      <c r="A86" s="1">
        <v>46292</v>
      </c>
      <c r="B86">
        <v>17</v>
      </c>
      <c r="C86">
        <v>64</v>
      </c>
      <c r="D86">
        <v>987200</v>
      </c>
    </row>
    <row r="87" spans="1:4" x14ac:dyDescent="0.3">
      <c r="A87" s="1">
        <v>46229</v>
      </c>
      <c r="B87">
        <v>7</v>
      </c>
      <c r="C87">
        <v>23</v>
      </c>
      <c r="D87">
        <v>92900</v>
      </c>
    </row>
    <row r="88" spans="1:4" x14ac:dyDescent="0.3">
      <c r="A88" s="1">
        <v>46232</v>
      </c>
      <c r="B88">
        <v>9</v>
      </c>
      <c r="C88">
        <v>24</v>
      </c>
      <c r="D88">
        <v>87700</v>
      </c>
    </row>
    <row r="89" spans="1:4" x14ac:dyDescent="0.3">
      <c r="A89" s="1">
        <v>46291</v>
      </c>
      <c r="B89">
        <v>4</v>
      </c>
      <c r="C89">
        <v>13</v>
      </c>
      <c r="D89">
        <v>80800</v>
      </c>
    </row>
    <row r="90" spans="1:4" x14ac:dyDescent="0.3">
      <c r="A90" s="1">
        <v>46252</v>
      </c>
      <c r="B90">
        <v>12</v>
      </c>
      <c r="C90">
        <v>31</v>
      </c>
      <c r="D90">
        <v>235100</v>
      </c>
    </row>
    <row r="91" spans="1:4" x14ac:dyDescent="0.3">
      <c r="A91" s="1">
        <v>46197</v>
      </c>
      <c r="B91">
        <v>15</v>
      </c>
      <c r="C91">
        <v>41</v>
      </c>
      <c r="D91">
        <v>201800</v>
      </c>
    </row>
    <row r="92" spans="1:4" x14ac:dyDescent="0.3">
      <c r="A92" s="1">
        <v>46050</v>
      </c>
      <c r="B92">
        <v>10</v>
      </c>
      <c r="C92">
        <v>25</v>
      </c>
      <c r="D92">
        <v>308300</v>
      </c>
    </row>
    <row r="93" spans="1:4" x14ac:dyDescent="0.3">
      <c r="A93" s="1">
        <v>46086</v>
      </c>
      <c r="B93">
        <v>9</v>
      </c>
      <c r="C93">
        <v>31</v>
      </c>
      <c r="D93">
        <v>234100</v>
      </c>
    </row>
    <row r="94" spans="1:4" x14ac:dyDescent="0.3">
      <c r="A94" s="1">
        <v>46113</v>
      </c>
      <c r="B94">
        <v>9</v>
      </c>
      <c r="C94">
        <v>23</v>
      </c>
      <c r="D94">
        <v>184300</v>
      </c>
    </row>
    <row r="95" spans="1:4" x14ac:dyDescent="0.3">
      <c r="A95" s="1">
        <v>46242</v>
      </c>
      <c r="B95">
        <v>6</v>
      </c>
      <c r="C95">
        <v>19</v>
      </c>
      <c r="D95">
        <v>327600</v>
      </c>
    </row>
    <row r="96" spans="1:4" x14ac:dyDescent="0.3">
      <c r="A96" s="1">
        <v>46289</v>
      </c>
      <c r="B96">
        <v>6</v>
      </c>
      <c r="C96">
        <v>17</v>
      </c>
      <c r="D96">
        <v>228900</v>
      </c>
    </row>
    <row r="97" spans="1:4" x14ac:dyDescent="0.3">
      <c r="A97" s="1">
        <v>46253</v>
      </c>
      <c r="B97">
        <v>6</v>
      </c>
      <c r="C97">
        <v>20</v>
      </c>
      <c r="D97">
        <v>215500</v>
      </c>
    </row>
    <row r="98" spans="1:4" x14ac:dyDescent="0.3">
      <c r="A98" s="1">
        <v>46300</v>
      </c>
      <c r="B98">
        <v>10</v>
      </c>
      <c r="C98">
        <v>25</v>
      </c>
      <c r="D98">
        <v>289800</v>
      </c>
    </row>
    <row r="99" spans="1:4" x14ac:dyDescent="0.3">
      <c r="A99" s="1">
        <v>46128</v>
      </c>
      <c r="B99">
        <v>4</v>
      </c>
      <c r="C99">
        <v>11</v>
      </c>
      <c r="D99">
        <v>81400</v>
      </c>
    </row>
    <row r="100" spans="1:4" x14ac:dyDescent="0.3">
      <c r="A100" s="1">
        <v>46029</v>
      </c>
      <c r="B100">
        <v>12</v>
      </c>
      <c r="C100">
        <v>34</v>
      </c>
      <c r="D100">
        <v>207700</v>
      </c>
    </row>
    <row r="101" spans="1:4" x14ac:dyDescent="0.3">
      <c r="A101" s="1">
        <v>46066</v>
      </c>
      <c r="B101">
        <v>11</v>
      </c>
      <c r="C101">
        <v>28</v>
      </c>
      <c r="D101">
        <v>379600</v>
      </c>
    </row>
    <row r="102" spans="1:4" x14ac:dyDescent="0.3">
      <c r="A102" s="1">
        <v>46321</v>
      </c>
      <c r="B102">
        <v>6</v>
      </c>
      <c r="C102">
        <v>26</v>
      </c>
      <c r="D102">
        <v>89900</v>
      </c>
    </row>
    <row r="103" spans="1:4" x14ac:dyDescent="0.3">
      <c r="A103" s="1">
        <v>46024</v>
      </c>
      <c r="B103">
        <v>15</v>
      </c>
      <c r="C103">
        <v>49</v>
      </c>
      <c r="D103">
        <v>477300</v>
      </c>
    </row>
    <row r="104" spans="1:4" x14ac:dyDescent="0.3">
      <c r="A104" s="1">
        <v>46106</v>
      </c>
      <c r="B104">
        <v>11</v>
      </c>
      <c r="C104">
        <v>36</v>
      </c>
      <c r="D104">
        <v>279300</v>
      </c>
    </row>
    <row r="105" spans="1:4" x14ac:dyDescent="0.3">
      <c r="A105" s="1">
        <v>46110</v>
      </c>
      <c r="B105">
        <v>10</v>
      </c>
      <c r="C105">
        <v>36</v>
      </c>
      <c r="D105">
        <v>454400</v>
      </c>
    </row>
    <row r="106" spans="1:4" x14ac:dyDescent="0.3">
      <c r="A106" s="1">
        <v>46079</v>
      </c>
      <c r="B106">
        <v>11</v>
      </c>
      <c r="C106">
        <v>36</v>
      </c>
      <c r="D106">
        <v>289100</v>
      </c>
    </row>
    <row r="107" spans="1:4" x14ac:dyDescent="0.3">
      <c r="A107" s="1">
        <v>46075</v>
      </c>
      <c r="B107">
        <v>8</v>
      </c>
      <c r="C107">
        <v>28</v>
      </c>
      <c r="D107">
        <v>158800</v>
      </c>
    </row>
    <row r="108" spans="1:4" x14ac:dyDescent="0.3">
      <c r="A108" s="1">
        <v>46145</v>
      </c>
      <c r="B108">
        <v>7</v>
      </c>
      <c r="C108">
        <v>18</v>
      </c>
      <c r="D108">
        <v>195100</v>
      </c>
    </row>
    <row r="109" spans="1:4" x14ac:dyDescent="0.3">
      <c r="A109" s="1">
        <v>46068</v>
      </c>
      <c r="B109">
        <v>11</v>
      </c>
      <c r="C109">
        <v>33</v>
      </c>
      <c r="D109">
        <v>444800</v>
      </c>
    </row>
    <row r="110" spans="1:4" x14ac:dyDescent="0.3">
      <c r="A110" s="1">
        <v>46267</v>
      </c>
      <c r="B110">
        <v>10</v>
      </c>
      <c r="C110">
        <v>29</v>
      </c>
      <c r="D110">
        <v>283300</v>
      </c>
    </row>
    <row r="111" spans="1:4" x14ac:dyDescent="0.3">
      <c r="A111" s="1">
        <v>46208</v>
      </c>
      <c r="B111">
        <v>15</v>
      </c>
      <c r="C111">
        <v>50</v>
      </c>
      <c r="D111">
        <v>262700</v>
      </c>
    </row>
    <row r="112" spans="1:4" x14ac:dyDescent="0.3">
      <c r="A112" s="1">
        <v>46121</v>
      </c>
      <c r="B112">
        <v>16</v>
      </c>
      <c r="C112">
        <v>43</v>
      </c>
      <c r="D112">
        <v>241500</v>
      </c>
    </row>
    <row r="113" spans="1:4" x14ac:dyDescent="0.3">
      <c r="A113" s="1">
        <v>46287</v>
      </c>
      <c r="B113">
        <v>8</v>
      </c>
      <c r="C113">
        <v>22</v>
      </c>
      <c r="D113">
        <v>404500</v>
      </c>
    </row>
    <row r="114" spans="1:4" x14ac:dyDescent="0.3">
      <c r="A114" s="1">
        <v>46026</v>
      </c>
      <c r="B114">
        <v>5</v>
      </c>
      <c r="C114">
        <v>11</v>
      </c>
      <c r="D114">
        <v>41100</v>
      </c>
    </row>
    <row r="115" spans="1:4" x14ac:dyDescent="0.3">
      <c r="A115" s="1">
        <v>46195</v>
      </c>
      <c r="B115">
        <v>7</v>
      </c>
      <c r="C115">
        <v>24</v>
      </c>
      <c r="D115">
        <v>261100</v>
      </c>
    </row>
    <row r="116" spans="1:4" x14ac:dyDescent="0.3">
      <c r="A116" s="1">
        <v>46222</v>
      </c>
      <c r="B116">
        <v>18</v>
      </c>
      <c r="C116">
        <v>57</v>
      </c>
      <c r="D116">
        <v>397300</v>
      </c>
    </row>
    <row r="117" spans="1:4" x14ac:dyDescent="0.3">
      <c r="A117" s="1">
        <v>46092</v>
      </c>
      <c r="B117">
        <v>14</v>
      </c>
      <c r="C117">
        <v>37</v>
      </c>
      <c r="D117">
        <v>271600</v>
      </c>
    </row>
    <row r="118" spans="1:4" x14ac:dyDescent="0.3">
      <c r="A118" s="1">
        <v>46154</v>
      </c>
      <c r="B118">
        <v>8</v>
      </c>
      <c r="C118">
        <v>25</v>
      </c>
      <c r="D118">
        <v>270300</v>
      </c>
    </row>
    <row r="119" spans="1:4" x14ac:dyDescent="0.3">
      <c r="A119" s="1">
        <v>46317</v>
      </c>
      <c r="B119">
        <v>11</v>
      </c>
      <c r="C119">
        <v>42</v>
      </c>
      <c r="D119">
        <v>332500</v>
      </c>
    </row>
    <row r="120" spans="1:4" x14ac:dyDescent="0.3">
      <c r="A120" s="1">
        <v>46244</v>
      </c>
      <c r="B120">
        <v>10</v>
      </c>
      <c r="C120">
        <v>36</v>
      </c>
      <c r="D120">
        <v>285700</v>
      </c>
    </row>
    <row r="121" spans="1:4" x14ac:dyDescent="0.3">
      <c r="A121" s="1">
        <v>46205</v>
      </c>
      <c r="B121">
        <v>15</v>
      </c>
      <c r="C121">
        <v>45</v>
      </c>
      <c r="D121">
        <v>738100</v>
      </c>
    </row>
    <row r="122" spans="1:4" x14ac:dyDescent="0.3">
      <c r="A122" s="1">
        <v>46038</v>
      </c>
      <c r="B122">
        <v>9</v>
      </c>
      <c r="C122">
        <v>20</v>
      </c>
      <c r="D122">
        <v>320700</v>
      </c>
    </row>
    <row r="123" spans="1:4" x14ac:dyDescent="0.3">
      <c r="A123" s="1">
        <v>46141</v>
      </c>
      <c r="B123">
        <v>9</v>
      </c>
      <c r="C123">
        <v>32</v>
      </c>
      <c r="D123">
        <v>328400</v>
      </c>
    </row>
    <row r="124" spans="1:4" x14ac:dyDescent="0.3">
      <c r="A124" s="1">
        <v>46095</v>
      </c>
      <c r="B124">
        <v>10</v>
      </c>
      <c r="C124">
        <v>28</v>
      </c>
      <c r="D124">
        <v>223800</v>
      </c>
    </row>
    <row r="125" spans="1:4" x14ac:dyDescent="0.3">
      <c r="A125" s="1">
        <v>46105</v>
      </c>
      <c r="B125">
        <v>10</v>
      </c>
      <c r="C125">
        <v>19</v>
      </c>
      <c r="D125">
        <v>215700</v>
      </c>
    </row>
    <row r="126" spans="1:4" x14ac:dyDescent="0.3">
      <c r="A126" s="1">
        <v>46104</v>
      </c>
      <c r="B126">
        <v>8</v>
      </c>
      <c r="C126">
        <v>21</v>
      </c>
      <c r="D126">
        <v>289900</v>
      </c>
    </row>
    <row r="127" spans="1:4" x14ac:dyDescent="0.3">
      <c r="A127" s="1">
        <v>46124</v>
      </c>
      <c r="B127">
        <v>6</v>
      </c>
      <c r="C127">
        <v>17</v>
      </c>
      <c r="D127">
        <v>226000</v>
      </c>
    </row>
    <row r="128" spans="1:4" x14ac:dyDescent="0.3">
      <c r="A128" s="1">
        <v>46207</v>
      </c>
      <c r="B128">
        <v>5</v>
      </c>
      <c r="C128">
        <v>19</v>
      </c>
      <c r="D128">
        <v>409000</v>
      </c>
    </row>
    <row r="129" spans="1:4" x14ac:dyDescent="0.3">
      <c r="A129" s="1">
        <v>46184</v>
      </c>
      <c r="B129">
        <v>5</v>
      </c>
      <c r="C129">
        <v>14</v>
      </c>
      <c r="D129">
        <v>28700</v>
      </c>
    </row>
    <row r="130" spans="1:4" x14ac:dyDescent="0.3">
      <c r="A130" s="1">
        <v>46274</v>
      </c>
      <c r="B130">
        <v>7</v>
      </c>
      <c r="C130">
        <v>23</v>
      </c>
      <c r="D130">
        <v>241800</v>
      </c>
    </row>
    <row r="131" spans="1:4" x14ac:dyDescent="0.3">
      <c r="A131" s="1">
        <v>46260</v>
      </c>
      <c r="B131">
        <v>6</v>
      </c>
      <c r="C131">
        <v>21</v>
      </c>
      <c r="D131">
        <v>147300</v>
      </c>
    </row>
    <row r="132" spans="1:4" x14ac:dyDescent="0.3">
      <c r="A132" s="1">
        <v>46094</v>
      </c>
      <c r="B132">
        <v>7</v>
      </c>
      <c r="C132">
        <v>24</v>
      </c>
      <c r="D132">
        <v>81300</v>
      </c>
    </row>
    <row r="133" spans="1:4" x14ac:dyDescent="0.3">
      <c r="A133" s="1">
        <v>46309</v>
      </c>
      <c r="B133">
        <v>9</v>
      </c>
      <c r="C133">
        <v>26</v>
      </c>
      <c r="D133">
        <v>266400</v>
      </c>
    </row>
    <row r="134" spans="1:4" x14ac:dyDescent="0.3">
      <c r="A134" s="1">
        <v>46054</v>
      </c>
      <c r="B134">
        <v>18</v>
      </c>
      <c r="C134">
        <v>53</v>
      </c>
      <c r="D134">
        <v>1024700</v>
      </c>
    </row>
    <row r="135" spans="1:4" x14ac:dyDescent="0.3">
      <c r="A135" s="1">
        <v>46225</v>
      </c>
      <c r="B135">
        <v>14</v>
      </c>
      <c r="C135">
        <v>47</v>
      </c>
      <c r="D135">
        <v>341800</v>
      </c>
    </row>
    <row r="136" spans="1:4" x14ac:dyDescent="0.3">
      <c r="A136" s="1">
        <v>46306</v>
      </c>
      <c r="B136">
        <v>8</v>
      </c>
      <c r="C136">
        <v>24</v>
      </c>
      <c r="D136">
        <v>100200</v>
      </c>
    </row>
    <row r="137" spans="1:4" x14ac:dyDescent="0.3">
      <c r="A137" s="1">
        <v>46303</v>
      </c>
      <c r="B137">
        <v>8</v>
      </c>
      <c r="C137">
        <v>26</v>
      </c>
      <c r="D137">
        <v>511500</v>
      </c>
    </row>
    <row r="138" spans="1:4" x14ac:dyDescent="0.3">
      <c r="A138" s="1">
        <v>46278</v>
      </c>
      <c r="B138">
        <v>11</v>
      </c>
      <c r="C138">
        <v>40</v>
      </c>
      <c r="D138">
        <v>160000</v>
      </c>
    </row>
    <row r="139" spans="1:4" x14ac:dyDescent="0.3">
      <c r="A139" s="1">
        <v>46322</v>
      </c>
      <c r="B139">
        <v>13</v>
      </c>
      <c r="C139">
        <v>40</v>
      </c>
      <c r="D139">
        <v>268300</v>
      </c>
    </row>
    <row r="140" spans="1:4" x14ac:dyDescent="0.3">
      <c r="A140" s="1">
        <v>46296</v>
      </c>
      <c r="B140">
        <v>5</v>
      </c>
      <c r="C140">
        <v>13</v>
      </c>
      <c r="D140">
        <v>138900</v>
      </c>
    </row>
    <row r="141" spans="1:4" x14ac:dyDescent="0.3">
      <c r="A141" s="1">
        <v>46320</v>
      </c>
      <c r="B141">
        <v>7</v>
      </c>
      <c r="C141">
        <v>22</v>
      </c>
      <c r="D141">
        <v>81800</v>
      </c>
    </row>
    <row r="142" spans="1:4" x14ac:dyDescent="0.3">
      <c r="A142" s="1">
        <v>46307</v>
      </c>
      <c r="B142">
        <v>12</v>
      </c>
      <c r="C142">
        <v>34</v>
      </c>
      <c r="D142">
        <v>486200</v>
      </c>
    </row>
    <row r="143" spans="1:4" x14ac:dyDescent="0.3">
      <c r="A143" s="1">
        <v>46176</v>
      </c>
      <c r="B143">
        <v>6</v>
      </c>
      <c r="C143">
        <v>20</v>
      </c>
      <c r="D143">
        <v>237100</v>
      </c>
    </row>
    <row r="144" spans="1:4" x14ac:dyDescent="0.3">
      <c r="A144" s="1">
        <v>46034</v>
      </c>
      <c r="B144">
        <v>10</v>
      </c>
      <c r="C144">
        <v>24</v>
      </c>
      <c r="D144">
        <v>527600</v>
      </c>
    </row>
    <row r="145" spans="1:4" x14ac:dyDescent="0.3">
      <c r="A145" s="1">
        <v>46177</v>
      </c>
      <c r="B145">
        <v>15</v>
      </c>
      <c r="C145">
        <v>54</v>
      </c>
      <c r="D145">
        <v>865500</v>
      </c>
    </row>
    <row r="146" spans="1:4" x14ac:dyDescent="0.3">
      <c r="A146" s="1">
        <v>46107</v>
      </c>
      <c r="B146">
        <v>8</v>
      </c>
      <c r="C146">
        <v>23</v>
      </c>
      <c r="D146">
        <v>216600</v>
      </c>
    </row>
    <row r="147" spans="1:4" x14ac:dyDescent="0.3">
      <c r="A147" s="1">
        <v>46251</v>
      </c>
      <c r="B147">
        <v>14</v>
      </c>
      <c r="C147">
        <v>39</v>
      </c>
      <c r="D147">
        <v>391100</v>
      </c>
    </row>
    <row r="148" spans="1:4" x14ac:dyDescent="0.3">
      <c r="A148" s="1">
        <v>46305</v>
      </c>
      <c r="B148">
        <v>10</v>
      </c>
      <c r="C148">
        <v>29</v>
      </c>
      <c r="D148">
        <v>563600</v>
      </c>
    </row>
    <row r="149" spans="1:4" x14ac:dyDescent="0.3">
      <c r="A149" s="1">
        <v>46280</v>
      </c>
      <c r="B149">
        <v>11</v>
      </c>
      <c r="C149">
        <v>40</v>
      </c>
      <c r="D149">
        <v>581800</v>
      </c>
    </row>
    <row r="150" spans="1:4" x14ac:dyDescent="0.3">
      <c r="A150" s="1">
        <v>46077</v>
      </c>
      <c r="B150">
        <v>9</v>
      </c>
      <c r="C150">
        <v>18</v>
      </c>
      <c r="D150">
        <v>88500</v>
      </c>
    </row>
    <row r="151" spans="1:4" x14ac:dyDescent="0.3">
      <c r="A151" s="1">
        <v>46048</v>
      </c>
      <c r="B151">
        <v>8</v>
      </c>
      <c r="C151">
        <v>20</v>
      </c>
      <c r="D151">
        <v>369600</v>
      </c>
    </row>
    <row r="152" spans="1:4" x14ac:dyDescent="0.3">
      <c r="A152" s="1">
        <v>46219</v>
      </c>
      <c r="B152">
        <v>11</v>
      </c>
      <c r="C152">
        <v>37</v>
      </c>
      <c r="D152">
        <v>243200</v>
      </c>
    </row>
    <row r="153" spans="1:4" x14ac:dyDescent="0.3">
      <c r="A153" s="1">
        <v>46281</v>
      </c>
      <c r="B153">
        <v>7</v>
      </c>
      <c r="C153">
        <v>23</v>
      </c>
      <c r="D153">
        <v>253400</v>
      </c>
    </row>
    <row r="154" spans="1:4" x14ac:dyDescent="0.3">
      <c r="A154" s="1">
        <v>46083</v>
      </c>
      <c r="B154">
        <v>7</v>
      </c>
      <c r="C154">
        <v>22</v>
      </c>
      <c r="D154">
        <v>303900</v>
      </c>
    </row>
    <row r="155" spans="1:4" x14ac:dyDescent="0.3">
      <c r="A155" s="1">
        <v>46272</v>
      </c>
      <c r="B155">
        <v>13</v>
      </c>
      <c r="C155">
        <v>37</v>
      </c>
      <c r="D155">
        <v>406000</v>
      </c>
    </row>
    <row r="156" spans="1:4" x14ac:dyDescent="0.3">
      <c r="A156" s="1">
        <v>46150</v>
      </c>
      <c r="B156">
        <v>10</v>
      </c>
      <c r="C156">
        <v>24</v>
      </c>
      <c r="D156">
        <v>440600</v>
      </c>
    </row>
    <row r="157" spans="1:4" x14ac:dyDescent="0.3">
      <c r="A157" s="1">
        <v>46264</v>
      </c>
      <c r="B157">
        <v>5</v>
      </c>
      <c r="C157">
        <v>21</v>
      </c>
      <c r="D157">
        <v>470100</v>
      </c>
    </row>
    <row r="158" spans="1:4" x14ac:dyDescent="0.3">
      <c r="A158" s="1">
        <v>46298</v>
      </c>
      <c r="B158">
        <v>8</v>
      </c>
      <c r="C158">
        <v>18</v>
      </c>
      <c r="D158">
        <v>481900</v>
      </c>
    </row>
    <row r="159" spans="1:4" x14ac:dyDescent="0.3">
      <c r="A159" s="1">
        <v>46211</v>
      </c>
      <c r="B159">
        <v>10</v>
      </c>
      <c r="C159">
        <v>37</v>
      </c>
      <c r="D159">
        <v>228800</v>
      </c>
    </row>
    <row r="160" spans="1:4" x14ac:dyDescent="0.3">
      <c r="A160" s="1">
        <v>46151</v>
      </c>
      <c r="B160">
        <v>13</v>
      </c>
      <c r="C160">
        <v>43</v>
      </c>
      <c r="D160">
        <v>306200</v>
      </c>
    </row>
    <row r="161" spans="1:4" x14ac:dyDescent="0.3">
      <c r="A161" s="1">
        <v>46284</v>
      </c>
      <c r="B161">
        <v>16</v>
      </c>
      <c r="C161">
        <v>42</v>
      </c>
      <c r="D161">
        <v>344700</v>
      </c>
    </row>
    <row r="162" spans="1:4" x14ac:dyDescent="0.3">
      <c r="A162" s="1">
        <v>46316</v>
      </c>
      <c r="B162">
        <v>9</v>
      </c>
      <c r="C162">
        <v>21</v>
      </c>
      <c r="D162">
        <v>143700</v>
      </c>
    </row>
    <row r="163" spans="1:4" x14ac:dyDescent="0.3">
      <c r="A163" s="1">
        <v>46183</v>
      </c>
      <c r="B163">
        <v>14</v>
      </c>
      <c r="C163">
        <v>44</v>
      </c>
      <c r="D163">
        <v>618000</v>
      </c>
    </row>
    <row r="164" spans="1:4" x14ac:dyDescent="0.3">
      <c r="A164" s="1">
        <v>46025</v>
      </c>
      <c r="B164">
        <v>13</v>
      </c>
      <c r="C164">
        <v>39</v>
      </c>
      <c r="D164">
        <v>257300</v>
      </c>
    </row>
    <row r="165" spans="1:4" x14ac:dyDescent="0.3">
      <c r="A165" s="1">
        <v>46134</v>
      </c>
      <c r="B165">
        <v>9</v>
      </c>
      <c r="C165">
        <v>26</v>
      </c>
      <c r="D165">
        <v>542900</v>
      </c>
    </row>
    <row r="166" spans="1:4" x14ac:dyDescent="0.3">
      <c r="A166" s="1">
        <v>46084</v>
      </c>
      <c r="B166">
        <v>8</v>
      </c>
      <c r="C166">
        <v>26</v>
      </c>
      <c r="D166">
        <v>150400</v>
      </c>
    </row>
    <row r="167" spans="1:4" x14ac:dyDescent="0.3">
      <c r="A167" s="1">
        <v>46236</v>
      </c>
      <c r="B167">
        <v>11</v>
      </c>
      <c r="C167">
        <v>31</v>
      </c>
      <c r="D167">
        <v>267000</v>
      </c>
    </row>
    <row r="168" spans="1:4" x14ac:dyDescent="0.3">
      <c r="A168" s="1">
        <v>46153</v>
      </c>
      <c r="B168">
        <v>11</v>
      </c>
      <c r="C168">
        <v>27</v>
      </c>
      <c r="D168">
        <v>367700</v>
      </c>
    </row>
    <row r="169" spans="1:4" x14ac:dyDescent="0.3">
      <c r="A169" s="1">
        <v>46130</v>
      </c>
      <c r="B169">
        <v>6</v>
      </c>
      <c r="C169">
        <v>13</v>
      </c>
      <c r="D169">
        <v>48500</v>
      </c>
    </row>
    <row r="170" spans="1:4" x14ac:dyDescent="0.3">
      <c r="A170" s="1">
        <v>46216</v>
      </c>
      <c r="B170">
        <v>9</v>
      </c>
      <c r="C170">
        <v>27</v>
      </c>
      <c r="D170">
        <v>101500</v>
      </c>
    </row>
    <row r="171" spans="1:4" x14ac:dyDescent="0.3">
      <c r="A171" s="1">
        <v>46312</v>
      </c>
      <c r="B171">
        <v>8</v>
      </c>
      <c r="C171">
        <v>26</v>
      </c>
      <c r="D171">
        <v>107600</v>
      </c>
    </row>
    <row r="172" spans="1:4" x14ac:dyDescent="0.3">
      <c r="A172" s="1">
        <v>46279</v>
      </c>
      <c r="B172">
        <v>10</v>
      </c>
      <c r="C172">
        <v>25</v>
      </c>
      <c r="D172">
        <v>398700</v>
      </c>
    </row>
    <row r="173" spans="1:4" x14ac:dyDescent="0.3">
      <c r="A173" s="1">
        <v>46297</v>
      </c>
      <c r="B173">
        <v>10</v>
      </c>
      <c r="C173">
        <v>21</v>
      </c>
      <c r="D173">
        <v>196500</v>
      </c>
    </row>
    <row r="174" spans="1:4" x14ac:dyDescent="0.3">
      <c r="A174" s="1">
        <v>46241</v>
      </c>
      <c r="B174">
        <v>12</v>
      </c>
      <c r="C174">
        <v>32</v>
      </c>
      <c r="D174">
        <v>274300</v>
      </c>
    </row>
    <row r="175" spans="1:4" x14ac:dyDescent="0.3">
      <c r="A175" s="1">
        <v>46160</v>
      </c>
      <c r="B175">
        <v>7</v>
      </c>
      <c r="C175">
        <v>18</v>
      </c>
      <c r="D175">
        <v>151400</v>
      </c>
    </row>
    <row r="176" spans="1:4" x14ac:dyDescent="0.3">
      <c r="A176" s="1">
        <v>46073</v>
      </c>
      <c r="B176">
        <v>10</v>
      </c>
      <c r="C176">
        <v>31</v>
      </c>
      <c r="D176">
        <v>405300</v>
      </c>
    </row>
    <row r="177" spans="1:4" x14ac:dyDescent="0.3">
      <c r="A177" s="1">
        <v>46118</v>
      </c>
      <c r="B177">
        <v>8</v>
      </c>
      <c r="C177">
        <v>32</v>
      </c>
      <c r="D177">
        <v>183800</v>
      </c>
    </row>
    <row r="178" spans="1:4" x14ac:dyDescent="0.3">
      <c r="A178" s="1">
        <v>46041</v>
      </c>
      <c r="B178">
        <v>14</v>
      </c>
      <c r="C178">
        <v>40</v>
      </c>
      <c r="D178">
        <v>208800</v>
      </c>
    </row>
    <row r="179" spans="1:4" x14ac:dyDescent="0.3">
      <c r="A179" s="1">
        <v>46193</v>
      </c>
      <c r="B179">
        <v>10</v>
      </c>
      <c r="C179">
        <v>37</v>
      </c>
      <c r="D179">
        <v>919400</v>
      </c>
    </row>
    <row r="180" spans="1:4" x14ac:dyDescent="0.3">
      <c r="A180" s="1">
        <v>46087</v>
      </c>
      <c r="B180">
        <v>12</v>
      </c>
      <c r="C180">
        <v>32</v>
      </c>
      <c r="D180">
        <v>481700</v>
      </c>
    </row>
    <row r="181" spans="1:4" x14ac:dyDescent="0.3">
      <c r="A181" s="1">
        <v>46139</v>
      </c>
      <c r="B181">
        <v>11</v>
      </c>
      <c r="C181">
        <v>32</v>
      </c>
      <c r="D181">
        <v>699200</v>
      </c>
    </row>
    <row r="182" spans="1:4" x14ac:dyDescent="0.3">
      <c r="A182" s="1">
        <v>46275</v>
      </c>
      <c r="B182">
        <v>13</v>
      </c>
      <c r="C182">
        <v>45</v>
      </c>
      <c r="D182">
        <v>629100</v>
      </c>
    </row>
    <row r="183" spans="1:4" x14ac:dyDescent="0.3">
      <c r="A183" s="1">
        <v>46325</v>
      </c>
      <c r="B183">
        <v>10</v>
      </c>
      <c r="C183">
        <v>34</v>
      </c>
      <c r="D183">
        <v>898500</v>
      </c>
    </row>
    <row r="184" spans="1:4" x14ac:dyDescent="0.3">
      <c r="A184" s="1">
        <v>46162</v>
      </c>
      <c r="B184">
        <v>11</v>
      </c>
      <c r="C184">
        <v>42</v>
      </c>
      <c r="D184">
        <v>581600</v>
      </c>
    </row>
    <row r="185" spans="1:4" x14ac:dyDescent="0.3">
      <c r="A185" s="1">
        <v>46078</v>
      </c>
      <c r="B185">
        <v>12</v>
      </c>
      <c r="C185">
        <v>40</v>
      </c>
      <c r="D185">
        <v>609000</v>
      </c>
    </row>
    <row r="186" spans="1:4" x14ac:dyDescent="0.3">
      <c r="A186" s="1">
        <v>46168</v>
      </c>
      <c r="B186">
        <v>6</v>
      </c>
      <c r="C186">
        <v>20</v>
      </c>
      <c r="D186">
        <v>119500</v>
      </c>
    </row>
    <row r="187" spans="1:4" x14ac:dyDescent="0.3">
      <c r="A187" s="1">
        <v>46270</v>
      </c>
      <c r="B187">
        <v>7</v>
      </c>
      <c r="C187">
        <v>17</v>
      </c>
      <c r="D187">
        <v>299500</v>
      </c>
    </row>
    <row r="188" spans="1:4" x14ac:dyDescent="0.3">
      <c r="A188" s="1">
        <v>46185</v>
      </c>
      <c r="B188">
        <v>9</v>
      </c>
      <c r="C188">
        <v>26</v>
      </c>
      <c r="D188">
        <v>290400</v>
      </c>
    </row>
    <row r="189" spans="1:4" x14ac:dyDescent="0.3">
      <c r="A189" s="1">
        <v>46286</v>
      </c>
      <c r="B189">
        <v>11</v>
      </c>
      <c r="C189">
        <v>33</v>
      </c>
      <c r="D189">
        <v>231600</v>
      </c>
    </row>
    <row r="190" spans="1:4" x14ac:dyDescent="0.3">
      <c r="A190" s="1">
        <v>46081</v>
      </c>
      <c r="B190">
        <v>12</v>
      </c>
      <c r="C190">
        <v>43</v>
      </c>
      <c r="D190">
        <v>444100</v>
      </c>
    </row>
    <row r="191" spans="1:4" x14ac:dyDescent="0.3">
      <c r="A191" s="1">
        <v>46148</v>
      </c>
      <c r="B191">
        <v>5</v>
      </c>
      <c r="C191">
        <v>11</v>
      </c>
      <c r="D191">
        <v>73300</v>
      </c>
    </row>
    <row r="192" spans="1:4" x14ac:dyDescent="0.3">
      <c r="A192" s="1">
        <v>46057</v>
      </c>
      <c r="B192">
        <v>14</v>
      </c>
      <c r="C192">
        <v>39</v>
      </c>
      <c r="D192">
        <v>374500</v>
      </c>
    </row>
    <row r="193" spans="1:4" x14ac:dyDescent="0.3">
      <c r="A193" s="1">
        <v>46283</v>
      </c>
      <c r="B193">
        <v>14</v>
      </c>
      <c r="C193">
        <v>45</v>
      </c>
      <c r="D193">
        <v>630300</v>
      </c>
    </row>
    <row r="194" spans="1:4" x14ac:dyDescent="0.3">
      <c r="A194" s="1">
        <v>46261</v>
      </c>
      <c r="B194">
        <v>11</v>
      </c>
      <c r="C194">
        <v>38</v>
      </c>
      <c r="D194">
        <v>252000</v>
      </c>
    </row>
    <row r="195" spans="1:4" x14ac:dyDescent="0.3">
      <c r="A195" s="1">
        <v>46268</v>
      </c>
      <c r="B195">
        <v>7</v>
      </c>
      <c r="C195">
        <v>21</v>
      </c>
      <c r="D195">
        <v>102300</v>
      </c>
    </row>
    <row r="196" spans="1:4" x14ac:dyDescent="0.3">
      <c r="A196" s="1">
        <v>46228</v>
      </c>
      <c r="B196">
        <v>9</v>
      </c>
      <c r="C196">
        <v>26</v>
      </c>
      <c r="D196">
        <v>357300</v>
      </c>
    </row>
    <row r="197" spans="1:4" x14ac:dyDescent="0.3">
      <c r="A197" s="1">
        <v>46310</v>
      </c>
      <c r="B197">
        <v>5</v>
      </c>
      <c r="C197">
        <v>21</v>
      </c>
      <c r="D197">
        <v>185500</v>
      </c>
    </row>
    <row r="198" spans="1:4" x14ac:dyDescent="0.3">
      <c r="A198" s="1">
        <v>46164</v>
      </c>
      <c r="B198">
        <v>12</v>
      </c>
      <c r="C198">
        <v>37</v>
      </c>
      <c r="D198">
        <v>262900</v>
      </c>
    </row>
    <row r="199" spans="1:4" x14ac:dyDescent="0.3">
      <c r="A199" s="1">
        <v>46230</v>
      </c>
      <c r="B199">
        <v>12</v>
      </c>
      <c r="C199">
        <v>33</v>
      </c>
      <c r="D199">
        <v>188300</v>
      </c>
    </row>
    <row r="200" spans="1:4" x14ac:dyDescent="0.3">
      <c r="A200" s="1">
        <v>46149</v>
      </c>
      <c r="B200">
        <v>7</v>
      </c>
      <c r="C200">
        <v>24</v>
      </c>
      <c r="D200">
        <v>150000</v>
      </c>
    </row>
    <row r="201" spans="1:4" x14ac:dyDescent="0.3">
      <c r="A201" s="1">
        <v>46178</v>
      </c>
      <c r="B201">
        <v>14</v>
      </c>
      <c r="C201">
        <v>41</v>
      </c>
      <c r="D201">
        <v>363300</v>
      </c>
    </row>
    <row r="202" spans="1:4" x14ac:dyDescent="0.3">
      <c r="A202" s="1">
        <v>46173</v>
      </c>
      <c r="B202">
        <v>12</v>
      </c>
      <c r="C202">
        <v>35</v>
      </c>
      <c r="D202">
        <v>169000</v>
      </c>
    </row>
    <row r="203" spans="1:4" x14ac:dyDescent="0.3">
      <c r="A203" s="1">
        <v>46114</v>
      </c>
      <c r="B203">
        <v>9</v>
      </c>
      <c r="C203">
        <v>20</v>
      </c>
      <c r="D203">
        <v>174000</v>
      </c>
    </row>
    <row r="204" spans="1:4" x14ac:dyDescent="0.3">
      <c r="A204" s="1">
        <v>46214</v>
      </c>
      <c r="B204">
        <v>15</v>
      </c>
      <c r="C204">
        <v>49</v>
      </c>
      <c r="D204">
        <v>212200</v>
      </c>
    </row>
    <row r="205" spans="1:4" x14ac:dyDescent="0.3">
      <c r="A205" s="1">
        <v>46256</v>
      </c>
      <c r="B205">
        <v>12</v>
      </c>
      <c r="C205">
        <v>39</v>
      </c>
      <c r="D205">
        <v>572000</v>
      </c>
    </row>
    <row r="206" spans="1:4" x14ac:dyDescent="0.3">
      <c r="A206" s="1">
        <v>46065</v>
      </c>
      <c r="B206">
        <v>9</v>
      </c>
      <c r="C206">
        <v>28</v>
      </c>
      <c r="D206">
        <v>407800</v>
      </c>
    </row>
    <row r="207" spans="1:4" x14ac:dyDescent="0.3">
      <c r="A207" s="1">
        <v>46285</v>
      </c>
      <c r="B207">
        <v>7</v>
      </c>
      <c r="C207">
        <v>13</v>
      </c>
      <c r="D207">
        <v>37200</v>
      </c>
    </row>
    <row r="208" spans="1:4" x14ac:dyDescent="0.3">
      <c r="A208" s="1">
        <v>46319</v>
      </c>
      <c r="B208">
        <v>14</v>
      </c>
      <c r="C208">
        <v>41</v>
      </c>
      <c r="D208">
        <v>777100</v>
      </c>
    </row>
    <row r="209" spans="1:4" x14ac:dyDescent="0.3">
      <c r="A209" s="1">
        <v>46119</v>
      </c>
      <c r="B209">
        <v>5</v>
      </c>
      <c r="C209">
        <v>13</v>
      </c>
      <c r="D209">
        <v>143400</v>
      </c>
    </row>
    <row r="210" spans="1:4" x14ac:dyDescent="0.3">
      <c r="A210" s="1">
        <v>46187</v>
      </c>
      <c r="B210">
        <v>12</v>
      </c>
      <c r="C210">
        <v>42</v>
      </c>
      <c r="D210">
        <v>154600</v>
      </c>
    </row>
    <row r="211" spans="1:4" x14ac:dyDescent="0.3">
      <c r="A211" s="1">
        <v>46313</v>
      </c>
      <c r="B211">
        <v>7</v>
      </c>
      <c r="C211">
        <v>24</v>
      </c>
      <c r="D211">
        <v>386500</v>
      </c>
    </row>
    <row r="212" spans="1:4" x14ac:dyDescent="0.3">
      <c r="A212" s="1">
        <v>46213</v>
      </c>
      <c r="B212">
        <v>6</v>
      </c>
      <c r="C212">
        <v>15</v>
      </c>
      <c r="D212">
        <v>79800</v>
      </c>
    </row>
    <row r="213" spans="1:4" x14ac:dyDescent="0.3">
      <c r="A213" s="1">
        <v>46159</v>
      </c>
      <c r="B213">
        <v>8</v>
      </c>
      <c r="C213">
        <v>20</v>
      </c>
      <c r="D213">
        <v>320300</v>
      </c>
    </row>
    <row r="214" spans="1:4" x14ac:dyDescent="0.3">
      <c r="A214" s="1">
        <v>46170</v>
      </c>
      <c r="B214">
        <v>13</v>
      </c>
      <c r="C214">
        <v>43</v>
      </c>
      <c r="D214">
        <v>124700</v>
      </c>
    </row>
    <row r="215" spans="1:4" x14ac:dyDescent="0.3">
      <c r="A215" s="1">
        <v>46223</v>
      </c>
      <c r="B215">
        <v>8</v>
      </c>
      <c r="C215">
        <v>22</v>
      </c>
      <c r="D215">
        <v>341000</v>
      </c>
    </row>
    <row r="216" spans="1:4" x14ac:dyDescent="0.3">
      <c r="A216" s="1">
        <v>46058</v>
      </c>
      <c r="B216">
        <v>13</v>
      </c>
      <c r="C216">
        <v>42</v>
      </c>
      <c r="D216">
        <v>314000</v>
      </c>
    </row>
    <row r="217" spans="1:4" x14ac:dyDescent="0.3">
      <c r="A217" s="1">
        <v>46080</v>
      </c>
      <c r="B217">
        <v>11</v>
      </c>
      <c r="C217">
        <v>43</v>
      </c>
      <c r="D217">
        <v>636000</v>
      </c>
    </row>
    <row r="218" spans="1:4" x14ac:dyDescent="0.3">
      <c r="A218" s="1">
        <v>46235</v>
      </c>
      <c r="B218">
        <v>4</v>
      </c>
      <c r="C218">
        <v>12</v>
      </c>
      <c r="D218">
        <v>24900</v>
      </c>
    </row>
    <row r="219" spans="1:4" x14ac:dyDescent="0.3">
      <c r="A219" s="1">
        <v>46204</v>
      </c>
      <c r="B219">
        <v>11</v>
      </c>
      <c r="C219">
        <v>29</v>
      </c>
      <c r="D219">
        <v>596700</v>
      </c>
    </row>
    <row r="220" spans="1:4" x14ac:dyDescent="0.3">
      <c r="A220" s="1">
        <v>46209</v>
      </c>
      <c r="B220">
        <v>6</v>
      </c>
      <c r="C220">
        <v>12</v>
      </c>
      <c r="D220">
        <v>144000</v>
      </c>
    </row>
    <row r="221" spans="1:4" x14ac:dyDescent="0.3">
      <c r="A221" s="1">
        <v>46190</v>
      </c>
      <c r="B221">
        <v>11</v>
      </c>
      <c r="C221">
        <v>30</v>
      </c>
      <c r="D221">
        <v>262400</v>
      </c>
    </row>
    <row r="222" spans="1:4" x14ac:dyDescent="0.3">
      <c r="A222" s="1">
        <v>46233</v>
      </c>
      <c r="B222">
        <v>11</v>
      </c>
      <c r="C222">
        <v>29</v>
      </c>
      <c r="D222">
        <v>181600</v>
      </c>
    </row>
    <row r="223" spans="1:4" x14ac:dyDescent="0.3">
      <c r="A223" s="1">
        <v>46217</v>
      </c>
      <c r="B223">
        <v>8</v>
      </c>
      <c r="C223">
        <v>27</v>
      </c>
      <c r="D223">
        <v>168100</v>
      </c>
    </row>
    <row r="224" spans="1:4" x14ac:dyDescent="0.3">
      <c r="A224" s="1">
        <v>46131</v>
      </c>
      <c r="B224">
        <v>12</v>
      </c>
      <c r="C224">
        <v>44</v>
      </c>
      <c r="D224">
        <v>230200</v>
      </c>
    </row>
    <row r="225" spans="1:4" x14ac:dyDescent="0.3">
      <c r="A225" s="1">
        <v>46112</v>
      </c>
      <c r="B225">
        <v>13</v>
      </c>
      <c r="C225">
        <v>34</v>
      </c>
      <c r="D225">
        <v>318100</v>
      </c>
    </row>
    <row r="226" spans="1:4" x14ac:dyDescent="0.3">
      <c r="A226" s="1">
        <v>46070</v>
      </c>
      <c r="B226">
        <v>9</v>
      </c>
      <c r="C226">
        <v>26</v>
      </c>
      <c r="D226">
        <v>100700</v>
      </c>
    </row>
    <row r="227" spans="1:4" x14ac:dyDescent="0.3">
      <c r="A227" s="1">
        <v>46171</v>
      </c>
      <c r="B227">
        <v>6</v>
      </c>
      <c r="C227">
        <v>20</v>
      </c>
      <c r="D227">
        <v>137100</v>
      </c>
    </row>
    <row r="228" spans="1:4" x14ac:dyDescent="0.3">
      <c r="A228" s="1">
        <v>46323</v>
      </c>
      <c r="B228">
        <v>13</v>
      </c>
      <c r="C228">
        <v>46</v>
      </c>
      <c r="D228">
        <v>359000</v>
      </c>
    </row>
    <row r="229" spans="1:4" x14ac:dyDescent="0.3">
      <c r="A229" s="1">
        <v>46135</v>
      </c>
      <c r="B229">
        <v>9</v>
      </c>
      <c r="C229">
        <v>26</v>
      </c>
      <c r="D229">
        <v>261500</v>
      </c>
    </row>
    <row r="230" spans="1:4" x14ac:dyDescent="0.3">
      <c r="A230" s="1">
        <v>46156</v>
      </c>
      <c r="B230">
        <v>7</v>
      </c>
      <c r="C230">
        <v>17</v>
      </c>
      <c r="D230">
        <v>326500</v>
      </c>
    </row>
    <row r="231" spans="1:4" x14ac:dyDescent="0.3">
      <c r="A231" s="1">
        <v>46030</v>
      </c>
      <c r="B231">
        <v>10</v>
      </c>
      <c r="C231">
        <v>29</v>
      </c>
      <c r="D231">
        <v>297300</v>
      </c>
    </row>
    <row r="232" spans="1:4" x14ac:dyDescent="0.3">
      <c r="A232" s="1">
        <v>46101</v>
      </c>
      <c r="B232">
        <v>9</v>
      </c>
      <c r="C232">
        <v>27</v>
      </c>
      <c r="D232">
        <v>170000</v>
      </c>
    </row>
    <row r="233" spans="1:4" x14ac:dyDescent="0.3">
      <c r="A233" s="1">
        <v>46127</v>
      </c>
      <c r="B233">
        <v>7</v>
      </c>
      <c r="C233">
        <v>23</v>
      </c>
      <c r="D233">
        <v>177000</v>
      </c>
    </row>
    <row r="234" spans="1:4" x14ac:dyDescent="0.3">
      <c r="A234" s="1">
        <v>46157</v>
      </c>
      <c r="B234">
        <v>9</v>
      </c>
      <c r="C234">
        <v>24</v>
      </c>
      <c r="D234">
        <v>391000</v>
      </c>
    </row>
    <row r="235" spans="1:4" x14ac:dyDescent="0.3">
      <c r="A235" s="1">
        <v>46318</v>
      </c>
      <c r="B235">
        <v>9</v>
      </c>
      <c r="C235">
        <v>24</v>
      </c>
      <c r="D235">
        <v>232700</v>
      </c>
    </row>
    <row r="236" spans="1:4" x14ac:dyDescent="0.3">
      <c r="A236" s="1">
        <v>46027</v>
      </c>
      <c r="B236">
        <v>15</v>
      </c>
      <c r="C236">
        <v>34</v>
      </c>
      <c r="D236">
        <v>211300</v>
      </c>
    </row>
    <row r="237" spans="1:4" x14ac:dyDescent="0.3">
      <c r="A237" s="1">
        <v>46071</v>
      </c>
      <c r="B237">
        <v>8</v>
      </c>
      <c r="C237">
        <v>22</v>
      </c>
      <c r="D237">
        <v>145600</v>
      </c>
    </row>
    <row r="238" spans="1:4" x14ac:dyDescent="0.3">
      <c r="A238" s="1">
        <v>46042</v>
      </c>
      <c r="B238">
        <v>7</v>
      </c>
      <c r="C238">
        <v>17</v>
      </c>
      <c r="D238">
        <v>173500</v>
      </c>
    </row>
    <row r="239" spans="1:4" x14ac:dyDescent="0.3">
      <c r="A239" s="1">
        <v>46090</v>
      </c>
      <c r="B239">
        <v>10</v>
      </c>
      <c r="C239">
        <v>32</v>
      </c>
      <c r="D239">
        <v>334800</v>
      </c>
    </row>
    <row r="240" spans="1:4" x14ac:dyDescent="0.3">
      <c r="A240" s="1">
        <v>46036</v>
      </c>
      <c r="B240">
        <v>13</v>
      </c>
      <c r="C240">
        <v>49</v>
      </c>
      <c r="D240">
        <v>823500</v>
      </c>
    </row>
    <row r="241" spans="1:4" x14ac:dyDescent="0.3">
      <c r="A241" s="1">
        <v>46109</v>
      </c>
      <c r="B241">
        <v>14</v>
      </c>
      <c r="C241">
        <v>37</v>
      </c>
      <c r="D241">
        <v>174200</v>
      </c>
    </row>
    <row r="242" spans="1:4" x14ac:dyDescent="0.3">
      <c r="A242" s="1">
        <v>46315</v>
      </c>
      <c r="B242">
        <v>12</v>
      </c>
      <c r="C242">
        <v>27</v>
      </c>
      <c r="D242">
        <v>213700</v>
      </c>
    </row>
    <row r="243" spans="1:4" x14ac:dyDescent="0.3">
      <c r="A243" s="1">
        <v>46117</v>
      </c>
      <c r="B243">
        <v>7</v>
      </c>
      <c r="C243">
        <v>20</v>
      </c>
      <c r="D243">
        <v>153100</v>
      </c>
    </row>
    <row r="244" spans="1:4" x14ac:dyDescent="0.3">
      <c r="A244" s="1">
        <v>46163</v>
      </c>
      <c r="B244">
        <v>7</v>
      </c>
      <c r="C244">
        <v>26</v>
      </c>
      <c r="D244">
        <v>333800</v>
      </c>
    </row>
    <row r="245" spans="1:4" x14ac:dyDescent="0.3">
      <c r="A245" s="1">
        <v>46308</v>
      </c>
      <c r="B245">
        <v>14</v>
      </c>
      <c r="C245">
        <v>43</v>
      </c>
      <c r="D245">
        <v>513300</v>
      </c>
    </row>
    <row r="246" spans="1:4" x14ac:dyDescent="0.3">
      <c r="A246" s="1">
        <v>46076</v>
      </c>
      <c r="B246">
        <v>9</v>
      </c>
      <c r="C246">
        <v>28</v>
      </c>
      <c r="D246">
        <v>315900</v>
      </c>
    </row>
    <row r="247" spans="1:4" x14ac:dyDescent="0.3">
      <c r="A247" s="1">
        <v>46179</v>
      </c>
      <c r="B247">
        <v>14</v>
      </c>
      <c r="C247">
        <v>45</v>
      </c>
      <c r="D247">
        <v>648100</v>
      </c>
    </row>
    <row r="248" spans="1:4" x14ac:dyDescent="0.3">
      <c r="A248" s="1">
        <v>46218</v>
      </c>
      <c r="B248">
        <v>6</v>
      </c>
      <c r="C248">
        <v>17</v>
      </c>
      <c r="D248">
        <v>40600</v>
      </c>
    </row>
    <row r="249" spans="1:4" x14ac:dyDescent="0.3">
      <c r="A249" s="1">
        <v>46037</v>
      </c>
      <c r="B249">
        <v>12</v>
      </c>
      <c r="C249">
        <v>31</v>
      </c>
      <c r="D249">
        <v>349800</v>
      </c>
    </row>
    <row r="250" spans="1:4" x14ac:dyDescent="0.3">
      <c r="A250" s="1">
        <v>46237</v>
      </c>
      <c r="B250">
        <v>7</v>
      </c>
      <c r="C250">
        <v>12</v>
      </c>
      <c r="D250">
        <v>118200</v>
      </c>
    </row>
    <row r="251" spans="1:4" x14ac:dyDescent="0.3">
      <c r="A251" s="1">
        <v>46200</v>
      </c>
      <c r="B251">
        <v>8</v>
      </c>
      <c r="C251">
        <v>31</v>
      </c>
      <c r="D251">
        <v>238500</v>
      </c>
    </row>
    <row r="252" spans="1:4" x14ac:dyDescent="0.3">
      <c r="A252" s="1">
        <v>46055</v>
      </c>
      <c r="B252">
        <v>7</v>
      </c>
      <c r="C252">
        <v>20</v>
      </c>
      <c r="D252">
        <v>62700</v>
      </c>
    </row>
    <row r="253" spans="1:4" x14ac:dyDescent="0.3">
      <c r="A253" s="1">
        <v>46234</v>
      </c>
      <c r="B253">
        <v>10</v>
      </c>
      <c r="C253">
        <v>31</v>
      </c>
      <c r="D253">
        <v>384400</v>
      </c>
    </row>
    <row r="254" spans="1:4" x14ac:dyDescent="0.3">
      <c r="A254" s="1">
        <v>46045</v>
      </c>
      <c r="B254">
        <v>15</v>
      </c>
      <c r="C254">
        <v>47</v>
      </c>
      <c r="D254">
        <v>389700</v>
      </c>
    </row>
    <row r="255" spans="1:4" x14ac:dyDescent="0.3">
      <c r="A255" s="1">
        <v>46290</v>
      </c>
      <c r="B255">
        <v>10</v>
      </c>
      <c r="C255">
        <v>39</v>
      </c>
      <c r="D255">
        <v>297800</v>
      </c>
    </row>
    <row r="256" spans="1:4" x14ac:dyDescent="0.3">
      <c r="A256" s="1">
        <v>46040</v>
      </c>
      <c r="B256">
        <v>16</v>
      </c>
      <c r="C256">
        <v>51</v>
      </c>
      <c r="D256">
        <v>750000</v>
      </c>
    </row>
    <row r="257" spans="1:4" x14ac:dyDescent="0.3">
      <c r="A257" s="1">
        <v>46158</v>
      </c>
      <c r="B257">
        <v>7</v>
      </c>
      <c r="C257">
        <v>26</v>
      </c>
      <c r="D257">
        <v>156300</v>
      </c>
    </row>
    <row r="258" spans="1:4" x14ac:dyDescent="0.3">
      <c r="A258" s="1">
        <v>46064</v>
      </c>
      <c r="B258">
        <v>12</v>
      </c>
      <c r="C258">
        <v>39</v>
      </c>
      <c r="D258">
        <v>466500</v>
      </c>
    </row>
    <row r="259" spans="1:4" x14ac:dyDescent="0.3">
      <c r="A259" s="1">
        <v>46088</v>
      </c>
      <c r="B259">
        <v>7</v>
      </c>
      <c r="C259">
        <v>17</v>
      </c>
      <c r="D259">
        <v>168300</v>
      </c>
    </row>
    <row r="260" spans="1:4" x14ac:dyDescent="0.3">
      <c r="A260" s="1">
        <v>46263</v>
      </c>
      <c r="B260">
        <v>5</v>
      </c>
      <c r="C260">
        <v>16</v>
      </c>
      <c r="D260">
        <v>522500</v>
      </c>
    </row>
    <row r="261" spans="1:4" x14ac:dyDescent="0.3">
      <c r="A261" s="1">
        <v>46161</v>
      </c>
      <c r="B261">
        <v>7</v>
      </c>
      <c r="C261">
        <v>16</v>
      </c>
      <c r="D261">
        <v>88500</v>
      </c>
    </row>
    <row r="262" spans="1:4" x14ac:dyDescent="0.3">
      <c r="A262" s="1">
        <v>46074</v>
      </c>
      <c r="B262">
        <v>9</v>
      </c>
      <c r="C262">
        <v>21</v>
      </c>
      <c r="D262">
        <v>128500</v>
      </c>
    </row>
    <row r="263" spans="1:4" x14ac:dyDescent="0.3">
      <c r="A263" s="1">
        <v>46023</v>
      </c>
      <c r="B263">
        <v>5</v>
      </c>
      <c r="C263">
        <v>13</v>
      </c>
      <c r="D263">
        <v>300200</v>
      </c>
    </row>
    <row r="264" spans="1:4" x14ac:dyDescent="0.3">
      <c r="A264" s="1">
        <v>46111</v>
      </c>
      <c r="B264">
        <v>18</v>
      </c>
      <c r="C264">
        <v>65</v>
      </c>
      <c r="D264">
        <v>587700</v>
      </c>
    </row>
    <row r="265" spans="1:4" x14ac:dyDescent="0.3">
      <c r="A265" s="1">
        <v>46046</v>
      </c>
      <c r="B265">
        <v>8</v>
      </c>
      <c r="C265">
        <v>27</v>
      </c>
      <c r="D265">
        <v>114800</v>
      </c>
    </row>
    <row r="266" spans="1:4" x14ac:dyDescent="0.3">
      <c r="A266" s="1">
        <v>46085</v>
      </c>
      <c r="B266">
        <v>10</v>
      </c>
      <c r="C266">
        <v>34</v>
      </c>
      <c r="D266">
        <v>607900</v>
      </c>
    </row>
    <row r="267" spans="1:4" x14ac:dyDescent="0.3">
      <c r="A267" s="1">
        <v>46201</v>
      </c>
      <c r="B267">
        <v>9</v>
      </c>
      <c r="C267">
        <v>19</v>
      </c>
      <c r="D267">
        <v>170500</v>
      </c>
    </row>
    <row r="268" spans="1:4" x14ac:dyDescent="0.3">
      <c r="A268" s="1">
        <v>46031</v>
      </c>
      <c r="B268">
        <v>4</v>
      </c>
      <c r="C268">
        <v>14</v>
      </c>
      <c r="D268">
        <v>222000</v>
      </c>
    </row>
    <row r="269" spans="1:4" x14ac:dyDescent="0.3">
      <c r="A269" s="1">
        <v>46304</v>
      </c>
      <c r="B269">
        <v>7</v>
      </c>
      <c r="C269">
        <v>23</v>
      </c>
      <c r="D269">
        <v>142500</v>
      </c>
    </row>
    <row r="270" spans="1:4" x14ac:dyDescent="0.3">
      <c r="A270" s="1">
        <v>46103</v>
      </c>
      <c r="B270">
        <v>7</v>
      </c>
      <c r="C270">
        <v>18</v>
      </c>
      <c r="D270">
        <v>199600</v>
      </c>
    </row>
    <row r="271" spans="1:4" x14ac:dyDescent="0.3">
      <c r="A271" s="1">
        <v>46221</v>
      </c>
      <c r="B271">
        <v>10</v>
      </c>
      <c r="C271">
        <v>24</v>
      </c>
      <c r="D271">
        <v>188700</v>
      </c>
    </row>
    <row r="272" spans="1:4" x14ac:dyDescent="0.3">
      <c r="A272" s="1">
        <v>46098</v>
      </c>
      <c r="B272">
        <v>4</v>
      </c>
      <c r="C272">
        <v>10</v>
      </c>
      <c r="D272">
        <v>130100</v>
      </c>
    </row>
    <row r="273" spans="1:4" x14ac:dyDescent="0.3">
      <c r="A273" s="1">
        <v>46196</v>
      </c>
      <c r="B273">
        <v>9</v>
      </c>
      <c r="C273">
        <v>32</v>
      </c>
      <c r="D273">
        <v>162600</v>
      </c>
    </row>
    <row r="274" spans="1:4" x14ac:dyDescent="0.3">
      <c r="A274" s="1">
        <v>46226</v>
      </c>
      <c r="B274">
        <v>14</v>
      </c>
      <c r="C274">
        <v>46</v>
      </c>
      <c r="D274">
        <v>446000</v>
      </c>
    </row>
    <row r="275" spans="1:4" x14ac:dyDescent="0.3">
      <c r="A275" s="1">
        <v>46028</v>
      </c>
      <c r="B275">
        <v>12</v>
      </c>
      <c r="C275">
        <v>31</v>
      </c>
      <c r="D275">
        <v>366800</v>
      </c>
    </row>
    <row r="276" spans="1:4" x14ac:dyDescent="0.3">
      <c r="A276" s="1">
        <v>46258</v>
      </c>
      <c r="B276">
        <v>7</v>
      </c>
      <c r="C276">
        <v>19</v>
      </c>
      <c r="D276">
        <v>247200</v>
      </c>
    </row>
    <row r="277" spans="1:4" x14ac:dyDescent="0.3">
      <c r="A277" s="1">
        <v>46152</v>
      </c>
      <c r="B277">
        <v>8</v>
      </c>
      <c r="C277">
        <v>34</v>
      </c>
      <c r="D277">
        <v>260500</v>
      </c>
    </row>
    <row r="278" spans="1:4" x14ac:dyDescent="0.3">
      <c r="A278" s="1">
        <v>46282</v>
      </c>
      <c r="B278">
        <v>7</v>
      </c>
      <c r="C278">
        <v>18</v>
      </c>
      <c r="D278">
        <v>200400</v>
      </c>
    </row>
    <row r="279" spans="1:4" x14ac:dyDescent="0.3">
      <c r="A279" s="1">
        <v>46191</v>
      </c>
      <c r="B279">
        <v>8</v>
      </c>
      <c r="C279">
        <v>22</v>
      </c>
      <c r="D279">
        <v>175100</v>
      </c>
    </row>
    <row r="280" spans="1:4" x14ac:dyDescent="0.3">
      <c r="A280" s="1">
        <v>46089</v>
      </c>
      <c r="B280">
        <v>6</v>
      </c>
      <c r="C280">
        <v>18</v>
      </c>
      <c r="D280">
        <v>193500</v>
      </c>
    </row>
    <row r="281" spans="1:4" x14ac:dyDescent="0.3">
      <c r="A281" s="1">
        <v>46047</v>
      </c>
      <c r="B281">
        <v>7</v>
      </c>
      <c r="C281">
        <v>19</v>
      </c>
      <c r="D281">
        <v>292700</v>
      </c>
    </row>
    <row r="282" spans="1:4" x14ac:dyDescent="0.3">
      <c r="A282" s="1">
        <v>46146</v>
      </c>
      <c r="B282">
        <v>9</v>
      </c>
      <c r="C282">
        <v>26</v>
      </c>
      <c r="D282">
        <v>601000</v>
      </c>
    </row>
    <row r="283" spans="1:4" x14ac:dyDescent="0.3">
      <c r="A283" s="1">
        <v>46166</v>
      </c>
      <c r="B283">
        <v>11</v>
      </c>
      <c r="C283">
        <v>26</v>
      </c>
      <c r="D283">
        <v>406100</v>
      </c>
    </row>
    <row r="284" spans="1:4" x14ac:dyDescent="0.3">
      <c r="A284" s="1">
        <v>46172</v>
      </c>
      <c r="B284">
        <v>11</v>
      </c>
      <c r="C284">
        <v>32</v>
      </c>
      <c r="D284">
        <v>496800</v>
      </c>
    </row>
    <row r="285" spans="1:4" x14ac:dyDescent="0.3">
      <c r="A285" s="1">
        <v>46049</v>
      </c>
      <c r="B285">
        <v>14</v>
      </c>
      <c r="C285">
        <v>36</v>
      </c>
      <c r="D285">
        <v>175400</v>
      </c>
    </row>
    <row r="286" spans="1:4" x14ac:dyDescent="0.3">
      <c r="A286" s="1">
        <v>46206</v>
      </c>
      <c r="B286">
        <v>7</v>
      </c>
      <c r="C286">
        <v>11</v>
      </c>
      <c r="D286">
        <v>100600</v>
      </c>
    </row>
    <row r="287" spans="1:4" x14ac:dyDescent="0.3">
      <c r="A287" s="1">
        <v>46257</v>
      </c>
      <c r="B287">
        <v>9</v>
      </c>
      <c r="C287">
        <v>34</v>
      </c>
      <c r="D287">
        <v>562000</v>
      </c>
    </row>
    <row r="288" spans="1:4" x14ac:dyDescent="0.3">
      <c r="A288" s="1">
        <v>46062</v>
      </c>
      <c r="B288">
        <v>8</v>
      </c>
      <c r="C288">
        <v>24</v>
      </c>
      <c r="D288">
        <v>530700</v>
      </c>
    </row>
    <row r="289" spans="1:4" x14ac:dyDescent="0.3">
      <c r="A289" s="1">
        <v>46175</v>
      </c>
      <c r="B289">
        <v>11</v>
      </c>
      <c r="C289">
        <v>35</v>
      </c>
      <c r="D289">
        <v>1016300</v>
      </c>
    </row>
    <row r="290" spans="1:4" x14ac:dyDescent="0.3">
      <c r="A290" s="1">
        <v>46199</v>
      </c>
      <c r="B290">
        <v>12</v>
      </c>
      <c r="C290">
        <v>41</v>
      </c>
      <c r="D290">
        <v>449500</v>
      </c>
    </row>
    <row r="291" spans="1:4" x14ac:dyDescent="0.3">
      <c r="A291" s="1">
        <v>46174</v>
      </c>
      <c r="B291">
        <v>8</v>
      </c>
      <c r="C291">
        <v>20</v>
      </c>
      <c r="D291">
        <v>109200</v>
      </c>
    </row>
    <row r="292" spans="1:4" x14ac:dyDescent="0.3">
      <c r="A292" s="1">
        <v>46155</v>
      </c>
      <c r="B292">
        <v>11</v>
      </c>
      <c r="C292">
        <v>35</v>
      </c>
      <c r="D292">
        <v>706000</v>
      </c>
    </row>
    <row r="293" spans="1:4" x14ac:dyDescent="0.3">
      <c r="A293" s="1">
        <v>46169</v>
      </c>
      <c r="B293">
        <v>11</v>
      </c>
      <c r="C293">
        <v>32</v>
      </c>
      <c r="D293">
        <v>268400</v>
      </c>
    </row>
    <row r="294" spans="1:4" x14ac:dyDescent="0.3">
      <c r="A294" s="1">
        <v>46067</v>
      </c>
      <c r="B294">
        <v>7</v>
      </c>
      <c r="C294">
        <v>25</v>
      </c>
      <c r="D294">
        <v>102600</v>
      </c>
    </row>
    <row r="295" spans="1:4" x14ac:dyDescent="0.3">
      <c r="A295" s="1">
        <v>46137</v>
      </c>
      <c r="B295">
        <v>8</v>
      </c>
      <c r="C295">
        <v>27</v>
      </c>
      <c r="D295">
        <v>392800</v>
      </c>
    </row>
    <row r="296" spans="1:4" x14ac:dyDescent="0.3">
      <c r="A296" s="1">
        <v>46072</v>
      </c>
      <c r="B296">
        <v>12</v>
      </c>
      <c r="C296">
        <v>46</v>
      </c>
      <c r="D296">
        <v>547500</v>
      </c>
    </row>
    <row r="297" spans="1:4" x14ac:dyDescent="0.3">
      <c r="A297" s="1">
        <v>46314</v>
      </c>
      <c r="B297">
        <v>12</v>
      </c>
      <c r="C297">
        <v>45</v>
      </c>
      <c r="D297">
        <v>409600</v>
      </c>
    </row>
    <row r="298" spans="1:4" x14ac:dyDescent="0.3">
      <c r="A298" s="1">
        <v>46293</v>
      </c>
      <c r="B298">
        <v>19</v>
      </c>
      <c r="C298">
        <v>71</v>
      </c>
      <c r="D298">
        <v>957800</v>
      </c>
    </row>
    <row r="299" spans="1:4" x14ac:dyDescent="0.3">
      <c r="A299" s="1">
        <v>46165</v>
      </c>
      <c r="B299">
        <v>8</v>
      </c>
      <c r="C299">
        <v>24</v>
      </c>
      <c r="D299">
        <v>368800</v>
      </c>
    </row>
    <row r="300" spans="1:4" x14ac:dyDescent="0.3">
      <c r="A300" s="1">
        <v>46136</v>
      </c>
      <c r="B300">
        <v>16</v>
      </c>
      <c r="C300">
        <v>54</v>
      </c>
      <c r="D300">
        <v>632100</v>
      </c>
    </row>
    <row r="301" spans="1:4" x14ac:dyDescent="0.3">
      <c r="A301" s="1">
        <v>46188</v>
      </c>
      <c r="B301">
        <v>6</v>
      </c>
      <c r="C301">
        <v>19</v>
      </c>
      <c r="D301">
        <v>138800</v>
      </c>
    </row>
    <row r="302" spans="1:4" x14ac:dyDescent="0.3">
      <c r="A302" s="1">
        <v>46123</v>
      </c>
      <c r="B302">
        <v>11</v>
      </c>
      <c r="C302">
        <v>36</v>
      </c>
      <c r="D302">
        <v>166200</v>
      </c>
    </row>
    <row r="303" spans="1:4" x14ac:dyDescent="0.3">
      <c r="A303" s="1">
        <v>46144</v>
      </c>
      <c r="B303">
        <v>9</v>
      </c>
      <c r="C303">
        <v>21</v>
      </c>
      <c r="D303">
        <v>776300</v>
      </c>
    </row>
    <row r="304" spans="1:4" x14ac:dyDescent="0.3">
      <c r="A304" s="1">
        <v>46248</v>
      </c>
      <c r="B304">
        <v>8</v>
      </c>
      <c r="C304">
        <v>18</v>
      </c>
      <c r="D304">
        <v>132800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CAB8-E536-487F-9986-313E548EBF93}">
  <sheetPr codeName="Sheet2"/>
  <dimension ref="A3:F45"/>
  <sheetViews>
    <sheetView tabSelected="1" zoomScale="66" workbookViewId="0">
      <selection activeCell="D37" sqref="D37"/>
    </sheetView>
  </sheetViews>
  <sheetFormatPr defaultRowHeight="14.4" x14ac:dyDescent="0.3"/>
  <cols>
    <col min="1" max="1" width="13.88671875" bestFit="1" customWidth="1"/>
    <col min="2" max="3" width="10.21875" bestFit="1" customWidth="1"/>
    <col min="4" max="4" width="9.21875" bestFit="1" customWidth="1"/>
    <col min="5" max="5" width="11.109375" bestFit="1" customWidth="1"/>
    <col min="6" max="12" width="15.5546875" bestFit="1" customWidth="1"/>
    <col min="13" max="13" width="10.77734375" bestFit="1" customWidth="1"/>
  </cols>
  <sheetData>
    <row r="3" spans="1:5" x14ac:dyDescent="0.3">
      <c r="A3" s="4" t="s">
        <v>64</v>
      </c>
      <c r="B3" t="s">
        <v>74</v>
      </c>
      <c r="C3" t="s">
        <v>75</v>
      </c>
      <c r="D3" t="s">
        <v>76</v>
      </c>
      <c r="E3" t="inlineStr">
        <is>
          <t>Achievement</t>
        </is>
      </c>
    </row>
    <row r="4" spans="1:5" x14ac:dyDescent="0.3">
      <c r="A4" s="5" t="s">
        <v>62</v>
      </c>
      <c r="B4" s="6">
        <v>11000700</v>
      </c>
      <c r="C4" s="6">
        <v>10536000</v>
      </c>
      <c r="D4" s="6">
        <v>464700</v>
      </c>
      <c r="E4" s="7">
        <v>1.0441059225512528</v>
      </c>
    </row>
    <row r="5" spans="1:5" x14ac:dyDescent="0.3">
      <c r="A5" s="5" t="s">
        <v>65</v>
      </c>
      <c r="B5" s="6">
        <v>9660300</v>
      </c>
      <c r="C5" s="6">
        <v>9005000</v>
      </c>
      <c r="D5" s="6">
        <v>655300</v>
      </c>
      <c r="E5" s="7">
        <v>1.0727706829539145</v>
      </c>
    </row>
    <row r="6" spans="1:5" x14ac:dyDescent="0.3">
      <c r="A6" s="5" t="s">
        <v>66</v>
      </c>
      <c r="B6" s="6">
        <v>9313200</v>
      </c>
      <c r="C6" s="6">
        <v>8673000</v>
      </c>
      <c r="D6" s="6">
        <v>640200</v>
      </c>
      <c r="E6" s="7">
        <v>1.0738152888273953</v>
      </c>
    </row>
    <row r="7" spans="1:5" x14ac:dyDescent="0.3">
      <c r="A7" s="5" t="s">
        <v>67</v>
      </c>
      <c r="B7" s="6">
        <v>8479500</v>
      </c>
      <c r="C7" s="6">
        <v>8307000</v>
      </c>
      <c r="D7" s="6">
        <v>172500</v>
      </c>
      <c r="E7" s="7">
        <v>1.0207656193571686</v>
      </c>
    </row>
    <row r="8" spans="1:5" x14ac:dyDescent="0.3">
      <c r="A8" s="5" t="s">
        <v>68</v>
      </c>
      <c r="B8" s="6">
        <v>9746200</v>
      </c>
      <c r="C8" s="6">
        <v>9652000</v>
      </c>
      <c r="D8" s="6">
        <v>94200</v>
      </c>
      <c r="E8" s="7">
        <v>1.0097596353087444</v>
      </c>
    </row>
    <row r="9" spans="1:5" x14ac:dyDescent="0.3">
      <c r="A9" s="5" t="s">
        <v>69</v>
      </c>
      <c r="B9" s="6">
        <v>10017300</v>
      </c>
      <c r="C9" s="6">
        <v>10158000</v>
      </c>
      <c r="D9" s="6">
        <v>-140700</v>
      </c>
      <c r="E9" s="7">
        <v>0.98614884819846427</v>
      </c>
    </row>
    <row r="10" spans="1:5" x14ac:dyDescent="0.3">
      <c r="A10" s="5" t="s">
        <v>70</v>
      </c>
      <c r="B10" s="6">
        <v>8746500</v>
      </c>
      <c r="C10" s="6">
        <v>8373000</v>
      </c>
      <c r="D10" s="6">
        <v>373500</v>
      </c>
      <c r="E10" s="7">
        <v>1.0446076675026872</v>
      </c>
    </row>
    <row r="11" spans="1:5" x14ac:dyDescent="0.3">
      <c r="A11" s="5" t="s">
        <v>71</v>
      </c>
      <c r="B11" s="6">
        <v>11131900</v>
      </c>
      <c r="C11" s="6">
        <v>11163000</v>
      </c>
      <c r="D11" s="6">
        <v>-31100</v>
      </c>
      <c r="E11" s="7">
        <v>0.99721401057063508</v>
      </c>
    </row>
    <row r="12" spans="1:5" x14ac:dyDescent="0.3">
      <c r="A12" s="5" t="s">
        <v>72</v>
      </c>
      <c r="B12" s="6">
        <v>11360800</v>
      </c>
      <c r="C12" s="6">
        <v>11051000</v>
      </c>
      <c r="D12" s="6">
        <v>309800</v>
      </c>
      <c r="E12" s="7">
        <v>1.0280336621120261</v>
      </c>
    </row>
    <row r="13" spans="1:5" x14ac:dyDescent="0.3">
      <c r="A13" s="5" t="s">
        <v>73</v>
      </c>
      <c r="B13" s="6">
        <v>9535700</v>
      </c>
      <c r="C13" s="6">
        <v>10054000</v>
      </c>
      <c r="D13" s="6">
        <v>-518300</v>
      </c>
      <c r="E13" s="7">
        <v>0.94844837875472454</v>
      </c>
    </row>
    <row r="14" spans="1:5" x14ac:dyDescent="0.3">
      <c r="A14" s="5" t="s">
        <v>63</v>
      </c>
      <c r="B14" s="6">
        <v>98992100</v>
      </c>
      <c r="C14" s="6">
        <v>96972000</v>
      </c>
      <c r="D14" s="6">
        <v>2020100</v>
      </c>
      <c r="E14" s="7">
        <v>1.0208317864950707</v>
      </c>
    </row>
    <row r="28" spans="4:6" x14ac:dyDescent="0.3">
      <c r="D28" s="8"/>
      <c r="E28" s="9"/>
      <c r="F28" s="10"/>
    </row>
    <row r="29" spans="4:6" x14ac:dyDescent="0.3">
      <c r="D29" s="11"/>
      <c r="E29" s="12"/>
      <c r="F29" s="13"/>
    </row>
    <row r="30" spans="4:6" x14ac:dyDescent="0.3">
      <c r="D30" s="11"/>
      <c r="E30" s="12"/>
      <c r="F30" s="13"/>
    </row>
    <row r="31" spans="4:6" x14ac:dyDescent="0.3">
      <c r="D31" s="11"/>
      <c r="E31" s="12"/>
      <c r="F31" s="13"/>
    </row>
    <row r="32" spans="4:6" x14ac:dyDescent="0.3">
      <c r="D32" s="11"/>
      <c r="E32" s="12"/>
      <c r="F32" s="13"/>
    </row>
    <row r="33" spans="4:6" x14ac:dyDescent="0.3">
      <c r="D33" s="11"/>
      <c r="E33" s="12"/>
      <c r="F33" s="13"/>
    </row>
    <row r="34" spans="4:6" x14ac:dyDescent="0.3">
      <c r="D34" s="11"/>
      <c r="E34" s="12"/>
      <c r="F34" s="13"/>
    </row>
    <row r="35" spans="4:6" x14ac:dyDescent="0.3">
      <c r="D35" s="11"/>
      <c r="E35" s="12"/>
      <c r="F35" s="13"/>
    </row>
    <row r="36" spans="4:6" x14ac:dyDescent="0.3">
      <c r="D36" s="11"/>
      <c r="E36" s="12"/>
      <c r="F36" s="13"/>
    </row>
    <row r="37" spans="4:6" x14ac:dyDescent="0.3">
      <c r="D37" s="11"/>
      <c r="E37" s="12"/>
      <c r="F37" s="13"/>
    </row>
    <row r="38" spans="4:6" x14ac:dyDescent="0.3">
      <c r="D38" s="11"/>
      <c r="E38" s="12"/>
      <c r="F38" s="13"/>
    </row>
    <row r="39" spans="4:6" x14ac:dyDescent="0.3">
      <c r="D39" s="11"/>
      <c r="E39" s="12"/>
      <c r="F39" s="13"/>
    </row>
    <row r="40" spans="4:6" x14ac:dyDescent="0.3">
      <c r="D40" s="11"/>
      <c r="E40" s="12"/>
      <c r="F40" s="13"/>
    </row>
    <row r="41" spans="4:6" x14ac:dyDescent="0.3">
      <c r="D41" s="11"/>
      <c r="E41" s="12"/>
      <c r="F41" s="13"/>
    </row>
    <row r="42" spans="4:6" x14ac:dyDescent="0.3">
      <c r="D42" s="11"/>
      <c r="E42" s="12"/>
      <c r="F42" s="13"/>
    </row>
    <row r="43" spans="4:6" x14ac:dyDescent="0.3">
      <c r="D43" s="11"/>
      <c r="E43" s="12"/>
      <c r="F43" s="13"/>
    </row>
    <row r="44" spans="4:6" x14ac:dyDescent="0.3">
      <c r="D44" s="11"/>
      <c r="E44" s="12"/>
      <c r="F44" s="13"/>
    </row>
    <row r="45" spans="4:6" x14ac:dyDescent="0.3">
      <c r="D45" s="14"/>
      <c r="E45" s="15"/>
      <c r="F45"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5D24C-C523-4811-9170-0409FA17EE85}">
  <sheetPr codeName="Sheet3"/>
  <dimension ref="A1:E11"/>
  <sheetViews>
    <sheetView workbookViewId="0">
      <selection activeCell="B28" sqref="B28"/>
    </sheetView>
  </sheetViews>
  <sheetFormatPr defaultRowHeight="14.4" x14ac:dyDescent="0.3"/>
  <cols>
    <col min="1" max="1" width="11.109375" bestFit="1" customWidth="1"/>
    <col min="2" max="2" width="13.109375" bestFit="1" customWidth="1"/>
    <col min="3" max="3" width="14.6640625" bestFit="1" customWidth="1"/>
    <col min="4" max="4" width="10.109375" bestFit="1" customWidth="1"/>
    <col min="5" max="5" width="8.5546875" bestFit="1" customWidth="1"/>
  </cols>
  <sheetData>
    <row r="1" spans="1:5" x14ac:dyDescent="0.3">
      <c r="A1" t="s">
        <v>4</v>
      </c>
      <c r="B1" t="s">
        <v>5</v>
      </c>
      <c r="C1" t="s">
        <v>6</v>
      </c>
      <c r="D1" t="s">
        <v>3</v>
      </c>
      <c r="E1" t="s">
        <v>1</v>
      </c>
    </row>
    <row r="2" spans="1:5" x14ac:dyDescent="0.3">
      <c r="A2">
        <v>2026</v>
      </c>
      <c r="B2">
        <v>1</v>
      </c>
      <c r="C2" t="s">
        <v>7</v>
      </c>
      <c r="D2">
        <v>11000700</v>
      </c>
      <c r="E2">
        <v>327</v>
      </c>
    </row>
    <row r="3" spans="1:5" x14ac:dyDescent="0.3">
      <c r="A3">
        <v>2026</v>
      </c>
      <c r="B3">
        <v>2</v>
      </c>
      <c r="C3" t="s">
        <v>8</v>
      </c>
      <c r="D3">
        <v>9660300</v>
      </c>
      <c r="E3">
        <v>283</v>
      </c>
    </row>
    <row r="4" spans="1:5" x14ac:dyDescent="0.3">
      <c r="A4">
        <v>2026</v>
      </c>
      <c r="B4">
        <v>3</v>
      </c>
      <c r="C4" t="s">
        <v>9</v>
      </c>
      <c r="D4">
        <v>9313200</v>
      </c>
      <c r="E4">
        <v>300</v>
      </c>
    </row>
    <row r="5" spans="1:5" x14ac:dyDescent="0.3">
      <c r="A5">
        <v>2026</v>
      </c>
      <c r="B5">
        <v>4</v>
      </c>
      <c r="C5" t="s">
        <v>10</v>
      </c>
      <c r="D5">
        <v>8479500</v>
      </c>
      <c r="E5">
        <v>281</v>
      </c>
    </row>
    <row r="6" spans="1:5" x14ac:dyDescent="0.3">
      <c r="A6">
        <v>2026</v>
      </c>
      <c r="B6">
        <v>5</v>
      </c>
      <c r="C6" t="s">
        <v>11</v>
      </c>
      <c r="D6">
        <v>9746200</v>
      </c>
      <c r="E6">
        <v>280</v>
      </c>
    </row>
    <row r="7" spans="1:5" x14ac:dyDescent="0.3">
      <c r="A7">
        <v>2026</v>
      </c>
      <c r="B7">
        <v>6</v>
      </c>
      <c r="C7" t="s">
        <v>12</v>
      </c>
      <c r="D7">
        <v>10017300</v>
      </c>
      <c r="E7">
        <v>306</v>
      </c>
    </row>
    <row r="8" spans="1:5" x14ac:dyDescent="0.3">
      <c r="A8">
        <v>2026</v>
      </c>
      <c r="B8">
        <v>7</v>
      </c>
      <c r="C8" t="s">
        <v>13</v>
      </c>
      <c r="D8">
        <v>8746500</v>
      </c>
      <c r="E8">
        <v>325</v>
      </c>
    </row>
    <row r="9" spans="1:5" x14ac:dyDescent="0.3">
      <c r="A9">
        <v>2026</v>
      </c>
      <c r="B9">
        <v>8</v>
      </c>
      <c r="C9" t="s">
        <v>14</v>
      </c>
      <c r="D9">
        <v>11131900</v>
      </c>
      <c r="E9">
        <v>307</v>
      </c>
    </row>
    <row r="10" spans="1:5" x14ac:dyDescent="0.3">
      <c r="A10">
        <v>2026</v>
      </c>
      <c r="B10">
        <v>9</v>
      </c>
      <c r="C10" t="s">
        <v>15</v>
      </c>
      <c r="D10">
        <v>11360800</v>
      </c>
      <c r="E10">
        <v>301</v>
      </c>
    </row>
    <row r="11" spans="1:5" x14ac:dyDescent="0.3">
      <c r="A11">
        <v>2026</v>
      </c>
      <c r="B11">
        <v>10</v>
      </c>
      <c r="C11" t="s">
        <v>16</v>
      </c>
      <c r="D11">
        <v>9535700</v>
      </c>
      <c r="E11">
        <v>290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3966-16E9-40B1-BF3C-BA483E5C153B}">
  <sheetPr codeName="Sheet4"/>
  <dimension ref="A1:G2"/>
  <sheetViews>
    <sheetView workbookViewId="0">
      <selection activeCell="E7" sqref="E7"/>
    </sheetView>
  </sheetViews>
  <sheetFormatPr defaultRowHeight="14.4" x14ac:dyDescent="0.3"/>
  <cols>
    <col min="1" max="2" width="23.109375" customWidth="1"/>
    <col min="4" max="5" width="41.44140625" customWidth="1"/>
    <col min="7" max="7" width="12" customWidth="1"/>
  </cols>
  <sheetData>
    <row r="1" spans="1:7" x14ac:dyDescent="0.3">
      <c r="A1" t="s">
        <v>60</v>
      </c>
      <c r="B1" t="s">
        <v>61</v>
      </c>
      <c r="D1" t="s">
        <v>36</v>
      </c>
      <c r="E1" t="s">
        <v>37</v>
      </c>
      <c r="G1" t="inlineStr">
        <is>
          <t>year</t>
        </is>
      </c>
    </row>
    <row r="2" spans="1:7" x14ac:dyDescent="0.3">
      <c r="A2">
        <v>1</v>
      </c>
      <c r="B2" t="str">
        <f>TEXT(DATE(2026,A2,1),"MM MMM")</f>
        <v>01 Jan</v>
      </c>
      <c r="D2" s="3" t="s">
        <v>48</v>
      </c>
      <c r="E2" s="3" t="s">
        <v>43</v>
      </c>
      <c r="G2" t="n">
        <v>2026</v>
      </c>
    </row>
    <row r="3" spans="1:5" x14ac:dyDescent="0.3">
      <c r="A3">
        <v>2</v>
      </c>
      <c r="B3" t="str">
        <f t="shared" ref="B3:B13" si="0">TEXT(DATE(2026,A3,1),"MM MMM")</f>
        <v>02 Feb</v>
      </c>
      <c r="D3" s="3" t="s">
        <v>49</v>
      </c>
      <c r="E3" s="3" t="s">
        <v>47</v>
      </c>
    </row>
    <row r="4" spans="1:5" x14ac:dyDescent="0.3">
      <c r="A4">
        <v>3</v>
      </c>
      <c r="B4" t="str">
        <f t="shared" si="0"/>
        <v>03 Mar</v>
      </c>
      <c r="D4" s="3" t="s">
        <v>42</v>
      </c>
      <c r="E4" s="3" t="s">
        <v>43</v>
      </c>
    </row>
    <row r="5" spans="1:5" x14ac:dyDescent="0.3">
      <c r="A5">
        <v>4</v>
      </c>
      <c r="B5" t="str">
        <f t="shared" si="0"/>
        <v>04 Apr</v>
      </c>
      <c r="D5" s="3" t="s">
        <v>50</v>
      </c>
      <c r="E5" s="3" t="s">
        <v>41</v>
      </c>
    </row>
    <row r="6" spans="1:5" x14ac:dyDescent="0.3">
      <c r="A6">
        <v>5</v>
      </c>
      <c r="B6" t="str">
        <f t="shared" si="0"/>
        <v>05 May</v>
      </c>
      <c r="D6" s="3" t="s">
        <v>46</v>
      </c>
      <c r="E6" s="3" t="s">
        <v>47</v>
      </c>
    </row>
    <row r="7" spans="1:5" x14ac:dyDescent="0.3">
      <c r="A7">
        <v>6</v>
      </c>
      <c r="B7" t="str">
        <f t="shared" si="0"/>
        <v>06 Jun</v>
      </c>
      <c r="D7" s="3" t="s">
        <v>44</v>
      </c>
      <c r="E7" s="3" t="s">
        <v>45</v>
      </c>
    </row>
    <row r="8" spans="1:5" x14ac:dyDescent="0.3">
      <c r="A8">
        <v>7</v>
      </c>
      <c r="B8" t="str">
        <f t="shared" si="0"/>
        <v>07 Jul</v>
      </c>
      <c r="D8" s="3" t="s">
        <v>40</v>
      </c>
      <c r="E8" s="3" t="s">
        <v>41</v>
      </c>
    </row>
    <row r="9" spans="1:5" x14ac:dyDescent="0.3">
      <c r="A9">
        <v>8</v>
      </c>
      <c r="B9" t="str">
        <f t="shared" si="0"/>
        <v>08 Aug</v>
      </c>
      <c r="D9" s="3" t="s">
        <v>51</v>
      </c>
      <c r="E9" s="3" t="s">
        <v>45</v>
      </c>
    </row>
    <row r="10" spans="1:5" x14ac:dyDescent="0.3">
      <c r="A10">
        <v>9</v>
      </c>
      <c r="B10" t="str">
        <f t="shared" si="0"/>
        <v>09 Sep</v>
      </c>
    </row>
    <row r="11" spans="1:5" x14ac:dyDescent="0.3">
      <c r="A11">
        <v>10</v>
      </c>
      <c r="B11" t="str">
        <f t="shared" si="0"/>
        <v>10 Oct</v>
      </c>
      <c r="D11" s="2"/>
    </row>
    <row r="12" spans="1:5" x14ac:dyDescent="0.3">
      <c r="A12">
        <v>11</v>
      </c>
      <c r="B12" t="str">
        <f t="shared" si="0"/>
        <v>11 Nov</v>
      </c>
      <c r="C12" s="2"/>
    </row>
    <row r="13" spans="1:5" x14ac:dyDescent="0.3">
      <c r="A13">
        <v>12</v>
      </c>
      <c r="B13" t="str">
        <f t="shared" si="0"/>
        <v>12 Dec</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0A61-F435-4E66-816B-78A80BA33162}">
  <sheetPr codeName="Sheet5"/>
  <dimension ref="A1:D13"/>
  <sheetViews>
    <sheetView workbookViewId="0">
      <selection activeCell="B28" sqref="B28"/>
    </sheetView>
  </sheetViews>
  <sheetFormatPr defaultRowHeight="14.4" x14ac:dyDescent="0.3"/>
  <cols>
    <col min="1" max="1" width="15.77734375" bestFit="1" customWidth="1"/>
    <col min="2" max="2" width="10.5546875" bestFit="1" customWidth="1"/>
    <col min="3" max="3" width="11.77734375" bestFit="1" customWidth="1"/>
    <col min="4" max="4" width="10.109375" bestFit="1" customWidth="1"/>
  </cols>
  <sheetData>
    <row r="1" spans="1:4" x14ac:dyDescent="0.3">
      <c r="A1" t="s">
        <v>17</v>
      </c>
      <c r="B1" t="s">
        <v>18</v>
      </c>
      <c r="C1" t="s">
        <v>19</v>
      </c>
      <c r="D1" t="s">
        <v>3</v>
      </c>
    </row>
    <row r="2" spans="1:4" x14ac:dyDescent="0.3">
      <c r="A2" t="s">
        <v>20</v>
      </c>
      <c r="B2" t="s">
        <v>21</v>
      </c>
      <c r="C2">
        <v>714</v>
      </c>
      <c r="D2">
        <v>39270000</v>
      </c>
    </row>
    <row r="3" spans="1:4" x14ac:dyDescent="0.3">
      <c r="A3" t="s">
        <v>22</v>
      </c>
      <c r="B3" t="s">
        <v>23</v>
      </c>
      <c r="C3">
        <v>849</v>
      </c>
      <c r="D3">
        <v>18678000</v>
      </c>
    </row>
    <row r="4" spans="1:4" x14ac:dyDescent="0.3">
      <c r="A4" t="s">
        <v>24</v>
      </c>
      <c r="B4" t="s">
        <v>23</v>
      </c>
      <c r="C4">
        <v>693</v>
      </c>
      <c r="D4">
        <v>12474000</v>
      </c>
    </row>
    <row r="5" spans="1:4" x14ac:dyDescent="0.3">
      <c r="A5" t="s">
        <v>25</v>
      </c>
      <c r="B5" t="s">
        <v>21</v>
      </c>
      <c r="C5">
        <v>712</v>
      </c>
      <c r="D5">
        <v>8544000</v>
      </c>
    </row>
    <row r="6" spans="1:4" x14ac:dyDescent="0.3">
      <c r="A6" t="s">
        <v>26</v>
      </c>
      <c r="B6" t="s">
        <v>21</v>
      </c>
      <c r="C6">
        <v>706</v>
      </c>
      <c r="D6">
        <v>6707000</v>
      </c>
    </row>
    <row r="7" spans="1:4" x14ac:dyDescent="0.3">
      <c r="A7" t="s">
        <v>27</v>
      </c>
      <c r="B7" t="s">
        <v>23</v>
      </c>
      <c r="C7">
        <v>754</v>
      </c>
      <c r="D7">
        <v>4901000</v>
      </c>
    </row>
    <row r="8" spans="1:4" x14ac:dyDescent="0.3">
      <c r="A8" t="s">
        <v>28</v>
      </c>
      <c r="B8" t="s">
        <v>29</v>
      </c>
      <c r="C8">
        <v>794</v>
      </c>
      <c r="D8">
        <v>2382000</v>
      </c>
    </row>
    <row r="9" spans="1:4" x14ac:dyDescent="0.3">
      <c r="A9" t="s">
        <v>30</v>
      </c>
      <c r="B9" t="s">
        <v>31</v>
      </c>
      <c r="C9">
        <v>730</v>
      </c>
      <c r="D9">
        <v>1825000</v>
      </c>
    </row>
    <row r="10" spans="1:4" x14ac:dyDescent="0.3">
      <c r="A10" t="s">
        <v>32</v>
      </c>
      <c r="B10" t="s">
        <v>29</v>
      </c>
      <c r="C10">
        <v>780</v>
      </c>
      <c r="D10">
        <v>1716000</v>
      </c>
    </row>
    <row r="11" spans="1:4" x14ac:dyDescent="0.3">
      <c r="A11" t="s">
        <v>33</v>
      </c>
      <c r="B11" t="s">
        <v>31</v>
      </c>
      <c r="C11">
        <v>707</v>
      </c>
      <c r="D11">
        <v>1060500</v>
      </c>
    </row>
    <row r="12" spans="1:4" x14ac:dyDescent="0.3">
      <c r="A12" t="s">
        <v>34</v>
      </c>
      <c r="B12" t="s">
        <v>31</v>
      </c>
      <c r="C12">
        <v>776</v>
      </c>
      <c r="D12">
        <v>931200</v>
      </c>
    </row>
    <row r="13" spans="1:4" x14ac:dyDescent="0.3">
      <c r="A13" t="s">
        <v>35</v>
      </c>
      <c r="B13" t="s">
        <v>31</v>
      </c>
      <c r="C13">
        <v>839</v>
      </c>
      <c r="D13">
        <v>503400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5C29-DFE0-4E8A-8450-0AE7EC7946A5}">
  <sheetPr codeName="Sheet6"/>
  <dimension ref="A1:I3001"/>
  <sheetViews>
    <sheetView topLeftCell="G2993" workbookViewId="0">
      <pane ySplit="1" topLeftCell="A2" activePane="bottomLeft" state="frozen"/>
      <selection pane="bottomLeft" activeCell="A2" sqref="A2"/>
    </sheetView>
  </sheetViews>
  <sheetFormatPr defaultRowHeight="14.4" x14ac:dyDescent="0.3"/>
  <cols>
    <col min="1" max="1" width="11.21875" bestFit="1" customWidth="1"/>
    <col min="2" max="2" width="11.109375" bestFit="1" customWidth="1"/>
    <col min="3" max="3" width="13.109375" bestFit="1" customWidth="1"/>
    <col min="4" max="4" width="13" bestFit="1" customWidth="1"/>
    <col min="5" max="5" width="8.5546875" bestFit="1" customWidth="1"/>
    <col min="6" max="6" width="15.77734375" bestFit="1" customWidth="1"/>
    <col min="7" max="7" width="10.5546875" bestFit="1" customWidth="1"/>
    <col min="8" max="8" width="10.33203125" bestFit="1" customWidth="1"/>
    <col min="9" max="9" width="9.88671875" bestFit="1" customWidth="1"/>
  </cols>
  <sheetData>
    <row r="1" spans="1:9" x14ac:dyDescent="0.3">
      <c r="A1" t="s">
        <v>0</v>
      </c>
      <c r="B1" t="s">
        <v>4</v>
      </c>
      <c r="C1" t="s">
        <v>5</v>
      </c>
      <c r="D1" t="s">
        <v>36</v>
      </c>
      <c r="E1" t="s">
        <v>37</v>
      </c>
      <c r="F1" t="s">
        <v>17</v>
      </c>
      <c r="G1" t="s">
        <v>18</v>
      </c>
      <c r="H1" t="s">
        <v>38</v>
      </c>
      <c r="I1" t="s">
        <v>39</v>
      </c>
    </row>
    <row r="2" spans="1:9" x14ac:dyDescent="0.3">
      <c r="A2" s="1">
        <v>46129</v>
      </c>
      <c r="B2">
        <v>2026</v>
      </c>
      <c r="C2">
        <v>4</v>
      </c>
      <c r="D2" t="s">
        <v>40</v>
      </c>
      <c r="E2" t="s">
        <v>41</v>
      </c>
      <c r="F2" t="s">
        <v>35</v>
      </c>
      <c r="G2" t="s">
        <v>31</v>
      </c>
      <c r="H2">
        <v>1</v>
      </c>
      <c r="I2">
        <v>600</v>
      </c>
    </row>
    <row r="3" spans="1:9" x14ac:dyDescent="0.3">
      <c r="A3" s="1">
        <v>46305</v>
      </c>
      <c r="B3">
        <v>2026</v>
      </c>
      <c r="C3">
        <v>10</v>
      </c>
      <c r="D3" t="s">
        <v>42</v>
      </c>
      <c r="E3" t="s">
        <v>43</v>
      </c>
      <c r="F3" t="s">
        <v>35</v>
      </c>
      <c r="G3" t="s">
        <v>31</v>
      </c>
      <c r="H3">
        <v>3</v>
      </c>
      <c r="I3">
        <v>1800</v>
      </c>
    </row>
    <row r="4" spans="1:9" x14ac:dyDescent="0.3">
      <c r="A4" s="1">
        <v>46066</v>
      </c>
      <c r="B4">
        <v>2026</v>
      </c>
      <c r="C4">
        <v>2</v>
      </c>
      <c r="D4" t="s">
        <v>44</v>
      </c>
      <c r="E4" t="s">
        <v>45</v>
      </c>
      <c r="F4" t="s">
        <v>35</v>
      </c>
      <c r="G4" t="s">
        <v>31</v>
      </c>
      <c r="H4">
        <v>3</v>
      </c>
      <c r="I4">
        <v>1800</v>
      </c>
    </row>
    <row r="5" spans="1:9" x14ac:dyDescent="0.3">
      <c r="A5" s="1">
        <v>46282</v>
      </c>
      <c r="B5">
        <v>2026</v>
      </c>
      <c r="C5">
        <v>9</v>
      </c>
      <c r="D5" t="s">
        <v>46</v>
      </c>
      <c r="E5" t="s">
        <v>47</v>
      </c>
      <c r="F5" t="s">
        <v>35</v>
      </c>
      <c r="G5" t="s">
        <v>31</v>
      </c>
      <c r="H5">
        <v>4</v>
      </c>
      <c r="I5">
        <v>2400</v>
      </c>
    </row>
    <row r="6" spans="1:9" x14ac:dyDescent="0.3">
      <c r="A6" s="1">
        <v>46148</v>
      </c>
      <c r="B6">
        <v>2026</v>
      </c>
      <c r="C6">
        <v>5</v>
      </c>
      <c r="D6" t="s">
        <v>48</v>
      </c>
      <c r="E6" t="s">
        <v>43</v>
      </c>
      <c r="F6" t="s">
        <v>35</v>
      </c>
      <c r="G6" t="s">
        <v>31</v>
      </c>
      <c r="H6">
        <v>2</v>
      </c>
      <c r="I6">
        <v>1200</v>
      </c>
    </row>
    <row r="7" spans="1:9" x14ac:dyDescent="0.3">
      <c r="A7" s="1">
        <v>46156</v>
      </c>
      <c r="B7">
        <v>2026</v>
      </c>
      <c r="C7">
        <v>5</v>
      </c>
      <c r="D7" t="s">
        <v>40</v>
      </c>
      <c r="E7" t="s">
        <v>41</v>
      </c>
      <c r="F7" t="s">
        <v>35</v>
      </c>
      <c r="G7" t="s">
        <v>31</v>
      </c>
      <c r="H7">
        <v>1</v>
      </c>
      <c r="I7">
        <v>600</v>
      </c>
    </row>
    <row r="8" spans="1:9" x14ac:dyDescent="0.3">
      <c r="A8" s="1">
        <v>46235</v>
      </c>
      <c r="B8">
        <v>2026</v>
      </c>
      <c r="C8">
        <v>8</v>
      </c>
      <c r="D8" t="s">
        <v>48</v>
      </c>
      <c r="E8" t="s">
        <v>43</v>
      </c>
      <c r="F8" t="s">
        <v>35</v>
      </c>
      <c r="G8" t="s">
        <v>31</v>
      </c>
      <c r="H8">
        <v>3</v>
      </c>
      <c r="I8">
        <v>1800</v>
      </c>
    </row>
    <row r="9" spans="1:9" x14ac:dyDescent="0.3">
      <c r="A9" s="1">
        <v>46091</v>
      </c>
      <c r="B9">
        <v>2026</v>
      </c>
      <c r="C9">
        <v>3</v>
      </c>
      <c r="D9" t="s">
        <v>49</v>
      </c>
      <c r="E9" t="s">
        <v>47</v>
      </c>
      <c r="F9" t="s">
        <v>35</v>
      </c>
      <c r="G9" t="s">
        <v>31</v>
      </c>
      <c r="H9">
        <v>4</v>
      </c>
      <c r="I9">
        <v>2400</v>
      </c>
    </row>
    <row r="10" spans="1:9" x14ac:dyDescent="0.3">
      <c r="A10" s="1">
        <v>46176</v>
      </c>
      <c r="B10">
        <v>2026</v>
      </c>
      <c r="C10">
        <v>6</v>
      </c>
      <c r="D10" t="s">
        <v>42</v>
      </c>
      <c r="E10" t="s">
        <v>43</v>
      </c>
      <c r="F10" t="s">
        <v>35</v>
      </c>
      <c r="G10" t="s">
        <v>31</v>
      </c>
      <c r="H10">
        <v>2</v>
      </c>
      <c r="I10">
        <v>1200</v>
      </c>
    </row>
    <row r="11" spans="1:9" x14ac:dyDescent="0.3">
      <c r="A11" s="1">
        <v>46319</v>
      </c>
      <c r="B11">
        <v>2026</v>
      </c>
      <c r="C11">
        <v>10</v>
      </c>
      <c r="D11" t="s">
        <v>40</v>
      </c>
      <c r="E11" t="s">
        <v>41</v>
      </c>
      <c r="F11" t="s">
        <v>35</v>
      </c>
      <c r="G11" t="s">
        <v>31</v>
      </c>
      <c r="H11">
        <v>5</v>
      </c>
      <c r="I11">
        <v>3000</v>
      </c>
    </row>
    <row r="12" spans="1:9" x14ac:dyDescent="0.3">
      <c r="A12" s="1">
        <v>46114</v>
      </c>
      <c r="B12">
        <v>2026</v>
      </c>
      <c r="C12">
        <v>4</v>
      </c>
      <c r="D12" t="s">
        <v>50</v>
      </c>
      <c r="E12" t="s">
        <v>41</v>
      </c>
      <c r="F12" t="s">
        <v>35</v>
      </c>
      <c r="G12" t="s">
        <v>31</v>
      </c>
      <c r="H12">
        <v>1</v>
      </c>
      <c r="I12">
        <v>600</v>
      </c>
    </row>
    <row r="13" spans="1:9" x14ac:dyDescent="0.3">
      <c r="A13" s="1">
        <v>46159</v>
      </c>
      <c r="B13">
        <v>2026</v>
      </c>
      <c r="C13">
        <v>5</v>
      </c>
      <c r="D13" t="s">
        <v>49</v>
      </c>
      <c r="E13" t="s">
        <v>47</v>
      </c>
      <c r="F13" t="s">
        <v>35</v>
      </c>
      <c r="G13" t="s">
        <v>31</v>
      </c>
      <c r="H13">
        <v>1</v>
      </c>
      <c r="I13">
        <v>600</v>
      </c>
    </row>
    <row r="14" spans="1:9" x14ac:dyDescent="0.3">
      <c r="A14" s="1">
        <v>46229</v>
      </c>
      <c r="B14">
        <v>2026</v>
      </c>
      <c r="C14">
        <v>7</v>
      </c>
      <c r="D14" t="s">
        <v>50</v>
      </c>
      <c r="E14" t="s">
        <v>41</v>
      </c>
      <c r="F14" t="s">
        <v>35</v>
      </c>
      <c r="G14" t="s">
        <v>31</v>
      </c>
      <c r="H14">
        <v>3</v>
      </c>
      <c r="I14">
        <v>1800</v>
      </c>
    </row>
    <row r="15" spans="1:9" x14ac:dyDescent="0.3">
      <c r="A15" s="1">
        <v>46244</v>
      </c>
      <c r="B15">
        <v>2026</v>
      </c>
      <c r="C15">
        <v>8</v>
      </c>
      <c r="D15" t="s">
        <v>49</v>
      </c>
      <c r="E15" t="s">
        <v>47</v>
      </c>
      <c r="F15" t="s">
        <v>35</v>
      </c>
      <c r="G15" t="s">
        <v>31</v>
      </c>
      <c r="H15">
        <v>3</v>
      </c>
      <c r="I15">
        <v>1800</v>
      </c>
    </row>
    <row r="16" spans="1:9" x14ac:dyDescent="0.3">
      <c r="A16" s="1">
        <v>46287</v>
      </c>
      <c r="B16">
        <v>2026</v>
      </c>
      <c r="C16">
        <v>9</v>
      </c>
      <c r="D16" t="s">
        <v>50</v>
      </c>
      <c r="E16" t="s">
        <v>41</v>
      </c>
      <c r="F16" t="s">
        <v>35</v>
      </c>
      <c r="G16" t="s">
        <v>31</v>
      </c>
      <c r="H16">
        <v>1</v>
      </c>
      <c r="I16">
        <v>600</v>
      </c>
    </row>
    <row r="17" spans="1:9" x14ac:dyDescent="0.3">
      <c r="A17" s="1">
        <v>46133</v>
      </c>
      <c r="B17">
        <v>2026</v>
      </c>
      <c r="C17">
        <v>4</v>
      </c>
      <c r="D17" t="s">
        <v>40</v>
      </c>
      <c r="E17" t="s">
        <v>41</v>
      </c>
      <c r="F17" t="s">
        <v>35</v>
      </c>
      <c r="G17" t="s">
        <v>31</v>
      </c>
      <c r="H17">
        <v>4</v>
      </c>
      <c r="I17">
        <v>2400</v>
      </c>
    </row>
    <row r="18" spans="1:9" x14ac:dyDescent="0.3">
      <c r="A18" s="1">
        <v>46249</v>
      </c>
      <c r="B18">
        <v>2026</v>
      </c>
      <c r="C18">
        <v>8</v>
      </c>
      <c r="D18" t="s">
        <v>40</v>
      </c>
      <c r="E18" t="s">
        <v>41</v>
      </c>
      <c r="F18" t="s">
        <v>35</v>
      </c>
      <c r="G18" t="s">
        <v>31</v>
      </c>
      <c r="H18">
        <v>2</v>
      </c>
      <c r="I18">
        <v>1200</v>
      </c>
    </row>
    <row r="19" spans="1:9" x14ac:dyDescent="0.3">
      <c r="A19" s="1">
        <v>46312</v>
      </c>
      <c r="B19">
        <v>2026</v>
      </c>
      <c r="C19">
        <v>10</v>
      </c>
      <c r="D19" t="s">
        <v>44</v>
      </c>
      <c r="E19" t="s">
        <v>45</v>
      </c>
      <c r="F19" t="s">
        <v>35</v>
      </c>
      <c r="G19" t="s">
        <v>31</v>
      </c>
      <c r="H19">
        <v>1</v>
      </c>
      <c r="I19">
        <v>600</v>
      </c>
    </row>
    <row r="20" spans="1:9" x14ac:dyDescent="0.3">
      <c r="A20" s="1">
        <v>46172</v>
      </c>
      <c r="B20">
        <v>2026</v>
      </c>
      <c r="C20">
        <v>5</v>
      </c>
      <c r="D20" t="s">
        <v>46</v>
      </c>
      <c r="E20" t="s">
        <v>47</v>
      </c>
      <c r="F20" t="s">
        <v>35</v>
      </c>
      <c r="G20" t="s">
        <v>31</v>
      </c>
      <c r="H20">
        <v>1</v>
      </c>
      <c r="I20">
        <v>600</v>
      </c>
    </row>
    <row r="21" spans="1:9" x14ac:dyDescent="0.3">
      <c r="A21" s="1">
        <v>46089</v>
      </c>
      <c r="B21">
        <v>2026</v>
      </c>
      <c r="C21">
        <v>3</v>
      </c>
      <c r="D21" t="s">
        <v>50</v>
      </c>
      <c r="E21" t="s">
        <v>41</v>
      </c>
      <c r="F21" t="s">
        <v>35</v>
      </c>
      <c r="G21" t="s">
        <v>31</v>
      </c>
      <c r="H21">
        <v>1</v>
      </c>
      <c r="I21">
        <v>600</v>
      </c>
    </row>
    <row r="22" spans="1:9" x14ac:dyDescent="0.3">
      <c r="A22" s="1">
        <v>46025</v>
      </c>
      <c r="B22">
        <v>2026</v>
      </c>
      <c r="C22">
        <v>1</v>
      </c>
      <c r="D22" t="s">
        <v>51</v>
      </c>
      <c r="E22" t="s">
        <v>45</v>
      </c>
      <c r="F22" t="s">
        <v>35</v>
      </c>
      <c r="G22" t="s">
        <v>31</v>
      </c>
      <c r="H22">
        <v>3</v>
      </c>
      <c r="I22">
        <v>1800</v>
      </c>
    </row>
    <row r="23" spans="1:9" x14ac:dyDescent="0.3">
      <c r="A23" s="1">
        <v>46058</v>
      </c>
      <c r="B23">
        <v>2026</v>
      </c>
      <c r="C23">
        <v>2</v>
      </c>
      <c r="D23" t="s">
        <v>46</v>
      </c>
      <c r="E23" t="s">
        <v>47</v>
      </c>
      <c r="F23" t="s">
        <v>35</v>
      </c>
      <c r="G23" t="s">
        <v>31</v>
      </c>
      <c r="H23">
        <v>4</v>
      </c>
      <c r="I23">
        <v>2400</v>
      </c>
    </row>
    <row r="24" spans="1:9" x14ac:dyDescent="0.3">
      <c r="A24" s="1">
        <v>46109</v>
      </c>
      <c r="B24">
        <v>2026</v>
      </c>
      <c r="C24">
        <v>3</v>
      </c>
      <c r="D24" t="s">
        <v>49</v>
      </c>
      <c r="E24" t="s">
        <v>47</v>
      </c>
      <c r="F24" t="s">
        <v>35</v>
      </c>
      <c r="G24" t="s">
        <v>31</v>
      </c>
      <c r="H24">
        <v>3</v>
      </c>
      <c r="I24">
        <v>1800</v>
      </c>
    </row>
    <row r="25" spans="1:9" x14ac:dyDescent="0.3">
      <c r="A25" s="1">
        <v>46230</v>
      </c>
      <c r="B25">
        <v>2026</v>
      </c>
      <c r="C25">
        <v>7</v>
      </c>
      <c r="D25" t="s">
        <v>46</v>
      </c>
      <c r="E25" t="s">
        <v>47</v>
      </c>
      <c r="F25" t="s">
        <v>35</v>
      </c>
      <c r="G25" t="s">
        <v>31</v>
      </c>
      <c r="H25">
        <v>3</v>
      </c>
      <c r="I25">
        <v>1800</v>
      </c>
    </row>
    <row r="26" spans="1:9" x14ac:dyDescent="0.3">
      <c r="A26" s="1">
        <v>46133</v>
      </c>
      <c r="B26">
        <v>2026</v>
      </c>
      <c r="C26">
        <v>4</v>
      </c>
      <c r="D26" t="s">
        <v>51</v>
      </c>
      <c r="E26" t="s">
        <v>45</v>
      </c>
      <c r="F26" t="s">
        <v>35</v>
      </c>
      <c r="G26" t="s">
        <v>31</v>
      </c>
      <c r="H26">
        <v>5</v>
      </c>
      <c r="I26">
        <v>3000</v>
      </c>
    </row>
    <row r="27" spans="1:9" x14ac:dyDescent="0.3">
      <c r="A27" s="1">
        <v>46095</v>
      </c>
      <c r="B27">
        <v>2026</v>
      </c>
      <c r="C27">
        <v>3</v>
      </c>
      <c r="D27" t="s">
        <v>40</v>
      </c>
      <c r="E27" t="s">
        <v>41</v>
      </c>
      <c r="F27" t="s">
        <v>35</v>
      </c>
      <c r="G27" t="s">
        <v>31</v>
      </c>
      <c r="H27">
        <v>3</v>
      </c>
      <c r="I27">
        <v>1800</v>
      </c>
    </row>
    <row r="28" spans="1:9" x14ac:dyDescent="0.3">
      <c r="A28" s="1">
        <v>46278</v>
      </c>
      <c r="B28">
        <v>2026</v>
      </c>
      <c r="C28">
        <v>9</v>
      </c>
      <c r="D28" t="s">
        <v>42</v>
      </c>
      <c r="E28" t="s">
        <v>43</v>
      </c>
      <c r="F28" t="s">
        <v>35</v>
      </c>
      <c r="G28" t="s">
        <v>31</v>
      </c>
      <c r="H28">
        <v>4</v>
      </c>
      <c r="I28">
        <v>2400</v>
      </c>
    </row>
    <row r="29" spans="1:9" x14ac:dyDescent="0.3">
      <c r="A29" s="1">
        <v>46296</v>
      </c>
      <c r="B29">
        <v>2026</v>
      </c>
      <c r="C29">
        <v>10</v>
      </c>
      <c r="D29" t="s">
        <v>50</v>
      </c>
      <c r="E29" t="s">
        <v>41</v>
      </c>
      <c r="F29" t="s">
        <v>35</v>
      </c>
      <c r="G29" t="s">
        <v>31</v>
      </c>
      <c r="H29">
        <v>4</v>
      </c>
      <c r="I29">
        <v>2400</v>
      </c>
    </row>
    <row r="30" spans="1:9" x14ac:dyDescent="0.3">
      <c r="A30" s="1">
        <v>46228</v>
      </c>
      <c r="B30">
        <v>2026</v>
      </c>
      <c r="C30">
        <v>7</v>
      </c>
      <c r="D30" t="s">
        <v>48</v>
      </c>
      <c r="E30" t="s">
        <v>43</v>
      </c>
      <c r="F30" t="s">
        <v>35</v>
      </c>
      <c r="G30" t="s">
        <v>31</v>
      </c>
      <c r="H30">
        <v>4</v>
      </c>
      <c r="I30">
        <v>2400</v>
      </c>
    </row>
    <row r="31" spans="1:9" x14ac:dyDescent="0.3">
      <c r="A31" s="1">
        <v>46185</v>
      </c>
      <c r="B31">
        <v>2026</v>
      </c>
      <c r="C31">
        <v>6</v>
      </c>
      <c r="D31" t="s">
        <v>48</v>
      </c>
      <c r="E31" t="s">
        <v>43</v>
      </c>
      <c r="F31" t="s">
        <v>35</v>
      </c>
      <c r="G31" t="s">
        <v>31</v>
      </c>
      <c r="H31">
        <v>3</v>
      </c>
      <c r="I31">
        <v>1800</v>
      </c>
    </row>
    <row r="32" spans="1:9" x14ac:dyDescent="0.3">
      <c r="A32" s="1">
        <v>46095</v>
      </c>
      <c r="B32">
        <v>2026</v>
      </c>
      <c r="C32">
        <v>3</v>
      </c>
      <c r="D32" t="s">
        <v>50</v>
      </c>
      <c r="E32" t="s">
        <v>41</v>
      </c>
      <c r="F32" t="s">
        <v>35</v>
      </c>
      <c r="G32" t="s">
        <v>31</v>
      </c>
      <c r="H32">
        <v>5</v>
      </c>
      <c r="I32">
        <v>3000</v>
      </c>
    </row>
    <row r="33" spans="1:9" x14ac:dyDescent="0.3">
      <c r="A33" s="1">
        <v>46279</v>
      </c>
      <c r="B33">
        <v>2026</v>
      </c>
      <c r="C33">
        <v>9</v>
      </c>
      <c r="D33" t="s">
        <v>48</v>
      </c>
      <c r="E33" t="s">
        <v>43</v>
      </c>
      <c r="F33" t="s">
        <v>35</v>
      </c>
      <c r="G33" t="s">
        <v>31</v>
      </c>
      <c r="H33">
        <v>4</v>
      </c>
      <c r="I33">
        <v>2400</v>
      </c>
    </row>
    <row r="34" spans="1:9" x14ac:dyDescent="0.3">
      <c r="A34" s="1">
        <v>46033</v>
      </c>
      <c r="B34">
        <v>2026</v>
      </c>
      <c r="C34">
        <v>1</v>
      </c>
      <c r="D34" t="s">
        <v>49</v>
      </c>
      <c r="E34" t="s">
        <v>47</v>
      </c>
      <c r="F34" t="s">
        <v>35</v>
      </c>
      <c r="G34" t="s">
        <v>31</v>
      </c>
      <c r="H34">
        <v>1</v>
      </c>
      <c r="I34">
        <v>600</v>
      </c>
    </row>
    <row r="35" spans="1:9" x14ac:dyDescent="0.3">
      <c r="A35" s="1">
        <v>46141</v>
      </c>
      <c r="B35">
        <v>2026</v>
      </c>
      <c r="C35">
        <v>4</v>
      </c>
      <c r="D35" t="s">
        <v>46</v>
      </c>
      <c r="E35" t="s">
        <v>47</v>
      </c>
      <c r="F35" t="s">
        <v>35</v>
      </c>
      <c r="G35" t="s">
        <v>31</v>
      </c>
      <c r="H35">
        <v>4</v>
      </c>
      <c r="I35">
        <v>2400</v>
      </c>
    </row>
    <row r="36" spans="1:9" x14ac:dyDescent="0.3">
      <c r="A36" s="1">
        <v>46084</v>
      </c>
      <c r="B36">
        <v>2026</v>
      </c>
      <c r="C36">
        <v>3</v>
      </c>
      <c r="D36" t="s">
        <v>50</v>
      </c>
      <c r="E36" t="s">
        <v>41</v>
      </c>
      <c r="F36" t="s">
        <v>35</v>
      </c>
      <c r="G36" t="s">
        <v>31</v>
      </c>
      <c r="H36">
        <v>2</v>
      </c>
      <c r="I36">
        <v>1200</v>
      </c>
    </row>
    <row r="37" spans="1:9" x14ac:dyDescent="0.3">
      <c r="A37" s="1">
        <v>46101</v>
      </c>
      <c r="B37">
        <v>2026</v>
      </c>
      <c r="C37">
        <v>3</v>
      </c>
      <c r="D37" t="s">
        <v>40</v>
      </c>
      <c r="E37" t="s">
        <v>41</v>
      </c>
      <c r="F37" t="s">
        <v>35</v>
      </c>
      <c r="G37" t="s">
        <v>31</v>
      </c>
      <c r="H37">
        <v>5</v>
      </c>
      <c r="I37">
        <v>3000</v>
      </c>
    </row>
    <row r="38" spans="1:9" x14ac:dyDescent="0.3">
      <c r="A38" s="1">
        <v>46182</v>
      </c>
      <c r="B38">
        <v>2026</v>
      </c>
      <c r="C38">
        <v>6</v>
      </c>
      <c r="D38" t="s">
        <v>44</v>
      </c>
      <c r="E38" t="s">
        <v>45</v>
      </c>
      <c r="F38" t="s">
        <v>35</v>
      </c>
      <c r="G38" t="s">
        <v>31</v>
      </c>
      <c r="H38">
        <v>2</v>
      </c>
      <c r="I38">
        <v>1200</v>
      </c>
    </row>
    <row r="39" spans="1:9" x14ac:dyDescent="0.3">
      <c r="A39" s="1">
        <v>46148</v>
      </c>
      <c r="B39">
        <v>2026</v>
      </c>
      <c r="C39">
        <v>5</v>
      </c>
      <c r="D39" t="s">
        <v>49</v>
      </c>
      <c r="E39" t="s">
        <v>47</v>
      </c>
      <c r="F39" t="s">
        <v>35</v>
      </c>
      <c r="G39" t="s">
        <v>31</v>
      </c>
      <c r="H39">
        <v>1</v>
      </c>
      <c r="I39">
        <v>600</v>
      </c>
    </row>
    <row r="40" spans="1:9" x14ac:dyDescent="0.3">
      <c r="A40" s="1">
        <v>46058</v>
      </c>
      <c r="B40">
        <v>2026</v>
      </c>
      <c r="C40">
        <v>2</v>
      </c>
      <c r="D40" t="s">
        <v>48</v>
      </c>
      <c r="E40" t="s">
        <v>43</v>
      </c>
      <c r="F40" t="s">
        <v>35</v>
      </c>
      <c r="G40" t="s">
        <v>31</v>
      </c>
      <c r="H40">
        <v>4</v>
      </c>
      <c r="I40">
        <v>2400</v>
      </c>
    </row>
    <row r="41" spans="1:9" x14ac:dyDescent="0.3">
      <c r="A41" s="1">
        <v>46259</v>
      </c>
      <c r="B41">
        <v>2026</v>
      </c>
      <c r="C41">
        <v>8</v>
      </c>
      <c r="D41" t="s">
        <v>40</v>
      </c>
      <c r="E41" t="s">
        <v>41</v>
      </c>
      <c r="F41" t="s">
        <v>35</v>
      </c>
      <c r="G41" t="s">
        <v>31</v>
      </c>
      <c r="H41">
        <v>2</v>
      </c>
      <c r="I41">
        <v>1200</v>
      </c>
    </row>
    <row r="42" spans="1:9" x14ac:dyDescent="0.3">
      <c r="A42" s="1">
        <v>46080</v>
      </c>
      <c r="B42">
        <v>2026</v>
      </c>
      <c r="C42">
        <v>2</v>
      </c>
      <c r="D42" t="s">
        <v>46</v>
      </c>
      <c r="E42" t="s">
        <v>47</v>
      </c>
      <c r="F42" t="s">
        <v>35</v>
      </c>
      <c r="G42" t="s">
        <v>31</v>
      </c>
      <c r="H42">
        <v>5</v>
      </c>
      <c r="I42">
        <v>3000</v>
      </c>
    </row>
    <row r="43" spans="1:9" x14ac:dyDescent="0.3">
      <c r="A43" s="1">
        <v>46096</v>
      </c>
      <c r="B43">
        <v>2026</v>
      </c>
      <c r="C43">
        <v>3</v>
      </c>
      <c r="D43" t="s">
        <v>50</v>
      </c>
      <c r="E43" t="s">
        <v>41</v>
      </c>
      <c r="F43" t="s">
        <v>35</v>
      </c>
      <c r="G43" t="s">
        <v>31</v>
      </c>
      <c r="H43">
        <v>3</v>
      </c>
      <c r="I43">
        <v>1800</v>
      </c>
    </row>
    <row r="44" spans="1:9" x14ac:dyDescent="0.3">
      <c r="A44" s="1">
        <v>46052</v>
      </c>
      <c r="B44">
        <v>2026</v>
      </c>
      <c r="C44">
        <v>1</v>
      </c>
      <c r="D44" t="s">
        <v>50</v>
      </c>
      <c r="E44" t="s">
        <v>41</v>
      </c>
      <c r="F44" t="s">
        <v>35</v>
      </c>
      <c r="G44" t="s">
        <v>31</v>
      </c>
      <c r="H44">
        <v>5</v>
      </c>
      <c r="I44">
        <v>3000</v>
      </c>
    </row>
    <row r="45" spans="1:9" x14ac:dyDescent="0.3">
      <c r="A45" s="1">
        <v>46247</v>
      </c>
      <c r="B45">
        <v>2026</v>
      </c>
      <c r="C45">
        <v>8</v>
      </c>
      <c r="D45" t="s">
        <v>50</v>
      </c>
      <c r="E45" t="s">
        <v>41</v>
      </c>
      <c r="F45" t="s">
        <v>35</v>
      </c>
      <c r="G45" t="s">
        <v>31</v>
      </c>
      <c r="H45">
        <v>4</v>
      </c>
      <c r="I45">
        <v>2400</v>
      </c>
    </row>
    <row r="46" spans="1:9" x14ac:dyDescent="0.3">
      <c r="A46" s="1">
        <v>46312</v>
      </c>
      <c r="B46">
        <v>2026</v>
      </c>
      <c r="C46">
        <v>10</v>
      </c>
      <c r="D46" t="s">
        <v>46</v>
      </c>
      <c r="E46" t="s">
        <v>47</v>
      </c>
      <c r="F46" t="s">
        <v>35</v>
      </c>
      <c r="G46" t="s">
        <v>31</v>
      </c>
      <c r="H46">
        <v>4</v>
      </c>
      <c r="I46">
        <v>2400</v>
      </c>
    </row>
    <row r="47" spans="1:9" x14ac:dyDescent="0.3">
      <c r="A47" s="1">
        <v>46277</v>
      </c>
      <c r="B47">
        <v>2026</v>
      </c>
      <c r="C47">
        <v>9</v>
      </c>
      <c r="D47" t="s">
        <v>50</v>
      </c>
      <c r="E47" t="s">
        <v>41</v>
      </c>
      <c r="F47" t="s">
        <v>35</v>
      </c>
      <c r="G47" t="s">
        <v>31</v>
      </c>
      <c r="H47">
        <v>3</v>
      </c>
      <c r="I47">
        <v>1800</v>
      </c>
    </row>
    <row r="48" spans="1:9" x14ac:dyDescent="0.3">
      <c r="A48" s="1">
        <v>46171</v>
      </c>
      <c r="B48">
        <v>2026</v>
      </c>
      <c r="C48">
        <v>5</v>
      </c>
      <c r="D48" t="s">
        <v>40</v>
      </c>
      <c r="E48" t="s">
        <v>41</v>
      </c>
      <c r="F48" t="s">
        <v>35</v>
      </c>
      <c r="G48" t="s">
        <v>31</v>
      </c>
      <c r="H48">
        <v>2</v>
      </c>
      <c r="I48">
        <v>1200</v>
      </c>
    </row>
    <row r="49" spans="1:9" x14ac:dyDescent="0.3">
      <c r="A49" s="1">
        <v>46136</v>
      </c>
      <c r="B49">
        <v>2026</v>
      </c>
      <c r="C49">
        <v>4</v>
      </c>
      <c r="D49" t="s">
        <v>51</v>
      </c>
      <c r="E49" t="s">
        <v>45</v>
      </c>
      <c r="F49" t="s">
        <v>35</v>
      </c>
      <c r="G49" t="s">
        <v>31</v>
      </c>
      <c r="H49">
        <v>3</v>
      </c>
      <c r="I49">
        <v>1800</v>
      </c>
    </row>
    <row r="50" spans="1:9" x14ac:dyDescent="0.3">
      <c r="A50" s="1">
        <v>46140</v>
      </c>
      <c r="B50">
        <v>2026</v>
      </c>
      <c r="C50">
        <v>4</v>
      </c>
      <c r="D50" t="s">
        <v>44</v>
      </c>
      <c r="E50" t="s">
        <v>45</v>
      </c>
      <c r="F50" t="s">
        <v>35</v>
      </c>
      <c r="G50" t="s">
        <v>31</v>
      </c>
      <c r="H50">
        <v>1</v>
      </c>
      <c r="I50">
        <v>600</v>
      </c>
    </row>
    <row r="51" spans="1:9" x14ac:dyDescent="0.3">
      <c r="A51" s="1">
        <v>46094</v>
      </c>
      <c r="B51">
        <v>2026</v>
      </c>
      <c r="C51">
        <v>3</v>
      </c>
      <c r="D51" t="s">
        <v>50</v>
      </c>
      <c r="E51" t="s">
        <v>41</v>
      </c>
      <c r="F51" t="s">
        <v>35</v>
      </c>
      <c r="G51" t="s">
        <v>31</v>
      </c>
      <c r="H51">
        <v>3</v>
      </c>
      <c r="I51">
        <v>1800</v>
      </c>
    </row>
    <row r="52" spans="1:9" x14ac:dyDescent="0.3">
      <c r="A52" s="1">
        <v>46279</v>
      </c>
      <c r="B52">
        <v>2026</v>
      </c>
      <c r="C52">
        <v>9</v>
      </c>
      <c r="D52" t="s">
        <v>46</v>
      </c>
      <c r="E52" t="s">
        <v>47</v>
      </c>
      <c r="F52" t="s">
        <v>35</v>
      </c>
      <c r="G52" t="s">
        <v>31</v>
      </c>
      <c r="H52">
        <v>1</v>
      </c>
      <c r="I52">
        <v>600</v>
      </c>
    </row>
    <row r="53" spans="1:9" x14ac:dyDescent="0.3">
      <c r="A53" s="1">
        <v>46027</v>
      </c>
      <c r="B53">
        <v>2026</v>
      </c>
      <c r="C53">
        <v>1</v>
      </c>
      <c r="D53" t="s">
        <v>42</v>
      </c>
      <c r="E53" t="s">
        <v>43</v>
      </c>
      <c r="F53" t="s">
        <v>35</v>
      </c>
      <c r="G53" t="s">
        <v>31</v>
      </c>
      <c r="H53">
        <v>5</v>
      </c>
      <c r="I53">
        <v>3000</v>
      </c>
    </row>
    <row r="54" spans="1:9" x14ac:dyDescent="0.3">
      <c r="A54" s="1">
        <v>46278</v>
      </c>
      <c r="B54">
        <v>2026</v>
      </c>
      <c r="C54">
        <v>9</v>
      </c>
      <c r="D54" t="s">
        <v>48</v>
      </c>
      <c r="E54" t="s">
        <v>43</v>
      </c>
      <c r="F54" t="s">
        <v>35</v>
      </c>
      <c r="G54" t="s">
        <v>31</v>
      </c>
      <c r="H54">
        <v>5</v>
      </c>
      <c r="I54">
        <v>3000</v>
      </c>
    </row>
    <row r="55" spans="1:9" x14ac:dyDescent="0.3">
      <c r="A55" s="1">
        <v>46179</v>
      </c>
      <c r="B55">
        <v>2026</v>
      </c>
      <c r="C55">
        <v>6</v>
      </c>
      <c r="D55" t="s">
        <v>49</v>
      </c>
      <c r="E55" t="s">
        <v>47</v>
      </c>
      <c r="F55" t="s">
        <v>35</v>
      </c>
      <c r="G55" t="s">
        <v>31</v>
      </c>
      <c r="H55">
        <v>3</v>
      </c>
      <c r="I55">
        <v>1800</v>
      </c>
    </row>
    <row r="56" spans="1:9" x14ac:dyDescent="0.3">
      <c r="A56" s="1">
        <v>46222</v>
      </c>
      <c r="B56">
        <v>2026</v>
      </c>
      <c r="C56">
        <v>7</v>
      </c>
      <c r="D56" t="s">
        <v>50</v>
      </c>
      <c r="E56" t="s">
        <v>41</v>
      </c>
      <c r="F56" t="s">
        <v>35</v>
      </c>
      <c r="G56" t="s">
        <v>31</v>
      </c>
      <c r="H56">
        <v>4</v>
      </c>
      <c r="I56">
        <v>2400</v>
      </c>
    </row>
    <row r="57" spans="1:9" x14ac:dyDescent="0.3">
      <c r="A57" s="1">
        <v>46316</v>
      </c>
      <c r="B57">
        <v>2026</v>
      </c>
      <c r="C57">
        <v>10</v>
      </c>
      <c r="D57" t="s">
        <v>42</v>
      </c>
      <c r="E57" t="s">
        <v>43</v>
      </c>
      <c r="F57" t="s">
        <v>35</v>
      </c>
      <c r="G57" t="s">
        <v>31</v>
      </c>
      <c r="H57">
        <v>2</v>
      </c>
      <c r="I57">
        <v>1200</v>
      </c>
    </row>
    <row r="58" spans="1:9" x14ac:dyDescent="0.3">
      <c r="A58" s="1">
        <v>46169</v>
      </c>
      <c r="B58">
        <v>2026</v>
      </c>
      <c r="C58">
        <v>5</v>
      </c>
      <c r="D58" t="s">
        <v>42</v>
      </c>
      <c r="E58" t="s">
        <v>43</v>
      </c>
      <c r="F58" t="s">
        <v>35</v>
      </c>
      <c r="G58" t="s">
        <v>31</v>
      </c>
      <c r="H58">
        <v>3</v>
      </c>
      <c r="I58">
        <v>1800</v>
      </c>
    </row>
    <row r="59" spans="1:9" x14ac:dyDescent="0.3">
      <c r="A59" s="1">
        <v>46191</v>
      </c>
      <c r="B59">
        <v>2026</v>
      </c>
      <c r="C59">
        <v>6</v>
      </c>
      <c r="D59" t="s">
        <v>44</v>
      </c>
      <c r="E59" t="s">
        <v>45</v>
      </c>
      <c r="F59" t="s">
        <v>35</v>
      </c>
      <c r="G59" t="s">
        <v>31</v>
      </c>
      <c r="H59">
        <v>3</v>
      </c>
      <c r="I59">
        <v>1800</v>
      </c>
    </row>
    <row r="60" spans="1:9" x14ac:dyDescent="0.3">
      <c r="A60" s="1">
        <v>46034</v>
      </c>
      <c r="B60">
        <v>2026</v>
      </c>
      <c r="C60">
        <v>1</v>
      </c>
      <c r="D60" t="s">
        <v>42</v>
      </c>
      <c r="E60" t="s">
        <v>43</v>
      </c>
      <c r="F60" t="s">
        <v>35</v>
      </c>
      <c r="G60" t="s">
        <v>31</v>
      </c>
      <c r="H60">
        <v>1</v>
      </c>
      <c r="I60">
        <v>600</v>
      </c>
    </row>
    <row r="61" spans="1:9" x14ac:dyDescent="0.3">
      <c r="A61" s="1">
        <v>46286</v>
      </c>
      <c r="B61">
        <v>2026</v>
      </c>
      <c r="C61">
        <v>9</v>
      </c>
      <c r="D61" t="s">
        <v>50</v>
      </c>
      <c r="E61" t="s">
        <v>41</v>
      </c>
      <c r="F61" t="s">
        <v>35</v>
      </c>
      <c r="G61" t="s">
        <v>31</v>
      </c>
      <c r="H61">
        <v>5</v>
      </c>
      <c r="I61">
        <v>3000</v>
      </c>
    </row>
    <row r="62" spans="1:9" x14ac:dyDescent="0.3">
      <c r="A62" s="1">
        <v>46206</v>
      </c>
      <c r="B62">
        <v>2026</v>
      </c>
      <c r="C62">
        <v>7</v>
      </c>
      <c r="D62" t="s">
        <v>46</v>
      </c>
      <c r="E62" t="s">
        <v>47</v>
      </c>
      <c r="F62" t="s">
        <v>35</v>
      </c>
      <c r="G62" t="s">
        <v>31</v>
      </c>
      <c r="H62">
        <v>2</v>
      </c>
      <c r="I62">
        <v>1200</v>
      </c>
    </row>
    <row r="63" spans="1:9" x14ac:dyDescent="0.3">
      <c r="A63" s="1">
        <v>46188</v>
      </c>
      <c r="B63">
        <v>2026</v>
      </c>
      <c r="C63">
        <v>6</v>
      </c>
      <c r="D63" t="s">
        <v>51</v>
      </c>
      <c r="E63" t="s">
        <v>45</v>
      </c>
      <c r="F63" t="s">
        <v>35</v>
      </c>
      <c r="G63" t="s">
        <v>31</v>
      </c>
      <c r="H63">
        <v>4</v>
      </c>
      <c r="I63">
        <v>2400</v>
      </c>
    </row>
    <row r="64" spans="1:9" x14ac:dyDescent="0.3">
      <c r="A64" s="1">
        <v>46254</v>
      </c>
      <c r="B64">
        <v>2026</v>
      </c>
      <c r="C64">
        <v>8</v>
      </c>
      <c r="D64" t="s">
        <v>50</v>
      </c>
      <c r="E64" t="s">
        <v>41</v>
      </c>
      <c r="F64" t="s">
        <v>35</v>
      </c>
      <c r="G64" t="s">
        <v>31</v>
      </c>
      <c r="H64">
        <v>4</v>
      </c>
      <c r="I64">
        <v>2400</v>
      </c>
    </row>
    <row r="65" spans="1:9" x14ac:dyDescent="0.3">
      <c r="A65" s="1">
        <v>46240</v>
      </c>
      <c r="B65">
        <v>2026</v>
      </c>
      <c r="C65">
        <v>8</v>
      </c>
      <c r="D65" t="s">
        <v>51</v>
      </c>
      <c r="E65" t="s">
        <v>45</v>
      </c>
      <c r="F65" t="s">
        <v>35</v>
      </c>
      <c r="G65" t="s">
        <v>31</v>
      </c>
      <c r="H65">
        <v>1</v>
      </c>
      <c r="I65">
        <v>600</v>
      </c>
    </row>
    <row r="66" spans="1:9" x14ac:dyDescent="0.3">
      <c r="A66" s="1">
        <v>46170</v>
      </c>
      <c r="B66">
        <v>2026</v>
      </c>
      <c r="C66">
        <v>5</v>
      </c>
      <c r="D66" t="s">
        <v>48</v>
      </c>
      <c r="E66" t="s">
        <v>43</v>
      </c>
      <c r="F66" t="s">
        <v>35</v>
      </c>
      <c r="G66" t="s">
        <v>31</v>
      </c>
      <c r="H66">
        <v>5</v>
      </c>
      <c r="I66">
        <v>3000</v>
      </c>
    </row>
    <row r="67" spans="1:9" x14ac:dyDescent="0.3">
      <c r="A67" s="1">
        <v>46053</v>
      </c>
      <c r="B67">
        <v>2026</v>
      </c>
      <c r="C67">
        <v>1</v>
      </c>
      <c r="D67" t="s">
        <v>42</v>
      </c>
      <c r="E67" t="s">
        <v>43</v>
      </c>
      <c r="F67" t="s">
        <v>35</v>
      </c>
      <c r="G67" t="s">
        <v>31</v>
      </c>
      <c r="H67">
        <v>1</v>
      </c>
      <c r="I67">
        <v>600</v>
      </c>
    </row>
    <row r="68" spans="1:9" x14ac:dyDescent="0.3">
      <c r="A68" s="1">
        <v>46222</v>
      </c>
      <c r="B68">
        <v>2026</v>
      </c>
      <c r="C68">
        <v>7</v>
      </c>
      <c r="D68" t="s">
        <v>46</v>
      </c>
      <c r="E68" t="s">
        <v>47</v>
      </c>
      <c r="F68" t="s">
        <v>35</v>
      </c>
      <c r="G68" t="s">
        <v>31</v>
      </c>
      <c r="H68">
        <v>4</v>
      </c>
      <c r="I68">
        <v>2400</v>
      </c>
    </row>
    <row r="69" spans="1:9" x14ac:dyDescent="0.3">
      <c r="A69" s="1">
        <v>46116</v>
      </c>
      <c r="B69">
        <v>2026</v>
      </c>
      <c r="C69">
        <v>4</v>
      </c>
      <c r="D69" t="s">
        <v>46</v>
      </c>
      <c r="E69" t="s">
        <v>47</v>
      </c>
      <c r="F69" t="s">
        <v>35</v>
      </c>
      <c r="G69" t="s">
        <v>31</v>
      </c>
      <c r="H69">
        <v>4</v>
      </c>
      <c r="I69">
        <v>2400</v>
      </c>
    </row>
    <row r="70" spans="1:9" x14ac:dyDescent="0.3">
      <c r="A70" s="1">
        <v>46239</v>
      </c>
      <c r="B70">
        <v>2026</v>
      </c>
      <c r="C70">
        <v>8</v>
      </c>
      <c r="D70" t="s">
        <v>44</v>
      </c>
      <c r="E70" t="s">
        <v>45</v>
      </c>
      <c r="F70" t="s">
        <v>35</v>
      </c>
      <c r="G70" t="s">
        <v>31</v>
      </c>
      <c r="H70">
        <v>2</v>
      </c>
      <c r="I70">
        <v>1200</v>
      </c>
    </row>
    <row r="71" spans="1:9" x14ac:dyDescent="0.3">
      <c r="A71" s="1">
        <v>46241</v>
      </c>
      <c r="B71">
        <v>2026</v>
      </c>
      <c r="C71">
        <v>8</v>
      </c>
      <c r="D71" t="s">
        <v>51</v>
      </c>
      <c r="E71" t="s">
        <v>45</v>
      </c>
      <c r="F71" t="s">
        <v>35</v>
      </c>
      <c r="G71" t="s">
        <v>31</v>
      </c>
      <c r="H71">
        <v>1</v>
      </c>
      <c r="I71">
        <v>600</v>
      </c>
    </row>
    <row r="72" spans="1:9" x14ac:dyDescent="0.3">
      <c r="A72" s="1">
        <v>46112</v>
      </c>
      <c r="B72">
        <v>2026</v>
      </c>
      <c r="C72">
        <v>3</v>
      </c>
      <c r="D72" t="s">
        <v>49</v>
      </c>
      <c r="E72" t="s">
        <v>47</v>
      </c>
      <c r="F72" t="s">
        <v>35</v>
      </c>
      <c r="G72" t="s">
        <v>31</v>
      </c>
      <c r="H72">
        <v>3</v>
      </c>
      <c r="I72">
        <v>1800</v>
      </c>
    </row>
    <row r="73" spans="1:9" x14ac:dyDescent="0.3">
      <c r="A73" s="1">
        <v>46068</v>
      </c>
      <c r="B73">
        <v>2026</v>
      </c>
      <c r="C73">
        <v>2</v>
      </c>
      <c r="D73" t="s">
        <v>40</v>
      </c>
      <c r="E73" t="s">
        <v>41</v>
      </c>
      <c r="F73" t="s">
        <v>35</v>
      </c>
      <c r="G73" t="s">
        <v>31</v>
      </c>
      <c r="H73">
        <v>3</v>
      </c>
      <c r="I73">
        <v>1800</v>
      </c>
    </row>
    <row r="74" spans="1:9" x14ac:dyDescent="0.3">
      <c r="A74" s="1">
        <v>46055</v>
      </c>
      <c r="B74">
        <v>2026</v>
      </c>
      <c r="C74">
        <v>2</v>
      </c>
      <c r="D74" t="s">
        <v>50</v>
      </c>
      <c r="E74" t="s">
        <v>41</v>
      </c>
      <c r="F74" t="s">
        <v>35</v>
      </c>
      <c r="G74" t="s">
        <v>31</v>
      </c>
      <c r="H74">
        <v>2</v>
      </c>
      <c r="I74">
        <v>1200</v>
      </c>
    </row>
    <row r="75" spans="1:9" x14ac:dyDescent="0.3">
      <c r="A75" s="1">
        <v>46182</v>
      </c>
      <c r="B75">
        <v>2026</v>
      </c>
      <c r="C75">
        <v>6</v>
      </c>
      <c r="D75" t="s">
        <v>51</v>
      </c>
      <c r="E75" t="s">
        <v>45</v>
      </c>
      <c r="F75" t="s">
        <v>35</v>
      </c>
      <c r="G75" t="s">
        <v>31</v>
      </c>
      <c r="H75">
        <v>1</v>
      </c>
      <c r="I75">
        <v>600</v>
      </c>
    </row>
    <row r="76" spans="1:9" x14ac:dyDescent="0.3">
      <c r="A76" s="1">
        <v>46186</v>
      </c>
      <c r="B76">
        <v>2026</v>
      </c>
      <c r="C76">
        <v>6</v>
      </c>
      <c r="D76" t="s">
        <v>40</v>
      </c>
      <c r="E76" t="s">
        <v>41</v>
      </c>
      <c r="F76" t="s">
        <v>35</v>
      </c>
      <c r="G76" t="s">
        <v>31</v>
      </c>
      <c r="H76">
        <v>4</v>
      </c>
      <c r="I76">
        <v>2400</v>
      </c>
    </row>
    <row r="77" spans="1:9" x14ac:dyDescent="0.3">
      <c r="A77" s="1">
        <v>46114</v>
      </c>
      <c r="B77">
        <v>2026</v>
      </c>
      <c r="C77">
        <v>4</v>
      </c>
      <c r="D77" t="s">
        <v>51</v>
      </c>
      <c r="E77" t="s">
        <v>45</v>
      </c>
      <c r="F77" t="s">
        <v>35</v>
      </c>
      <c r="G77" t="s">
        <v>31</v>
      </c>
      <c r="H77">
        <v>1</v>
      </c>
      <c r="I77">
        <v>600</v>
      </c>
    </row>
    <row r="78" spans="1:9" x14ac:dyDescent="0.3">
      <c r="A78" s="1">
        <v>46187</v>
      </c>
      <c r="B78">
        <v>2026</v>
      </c>
      <c r="C78">
        <v>6</v>
      </c>
      <c r="D78" t="s">
        <v>44</v>
      </c>
      <c r="E78" t="s">
        <v>45</v>
      </c>
      <c r="F78" t="s">
        <v>35</v>
      </c>
      <c r="G78" t="s">
        <v>31</v>
      </c>
      <c r="H78">
        <v>3</v>
      </c>
      <c r="I78">
        <v>1800</v>
      </c>
    </row>
    <row r="79" spans="1:9" x14ac:dyDescent="0.3">
      <c r="A79" s="1">
        <v>46276</v>
      </c>
      <c r="B79">
        <v>2026</v>
      </c>
      <c r="C79">
        <v>9</v>
      </c>
      <c r="D79" t="s">
        <v>49</v>
      </c>
      <c r="E79" t="s">
        <v>47</v>
      </c>
      <c r="F79" t="s">
        <v>35</v>
      </c>
      <c r="G79" t="s">
        <v>31</v>
      </c>
      <c r="H79">
        <v>3</v>
      </c>
      <c r="I79">
        <v>1800</v>
      </c>
    </row>
    <row r="80" spans="1:9" x14ac:dyDescent="0.3">
      <c r="A80" s="1">
        <v>46245</v>
      </c>
      <c r="B80">
        <v>2026</v>
      </c>
      <c r="C80">
        <v>8</v>
      </c>
      <c r="D80" t="s">
        <v>51</v>
      </c>
      <c r="E80" t="s">
        <v>45</v>
      </c>
      <c r="F80" t="s">
        <v>35</v>
      </c>
      <c r="G80" t="s">
        <v>31</v>
      </c>
      <c r="H80">
        <v>3</v>
      </c>
      <c r="I80">
        <v>1800</v>
      </c>
    </row>
    <row r="81" spans="1:9" x14ac:dyDescent="0.3">
      <c r="A81" s="1">
        <v>46061</v>
      </c>
      <c r="B81">
        <v>2026</v>
      </c>
      <c r="C81">
        <v>2</v>
      </c>
      <c r="D81" t="s">
        <v>44</v>
      </c>
      <c r="E81" t="s">
        <v>45</v>
      </c>
      <c r="F81" t="s">
        <v>35</v>
      </c>
      <c r="G81" t="s">
        <v>31</v>
      </c>
      <c r="H81">
        <v>3</v>
      </c>
      <c r="I81">
        <v>1800</v>
      </c>
    </row>
    <row r="82" spans="1:9" x14ac:dyDescent="0.3">
      <c r="A82" s="1">
        <v>46191</v>
      </c>
      <c r="B82">
        <v>2026</v>
      </c>
      <c r="C82">
        <v>6</v>
      </c>
      <c r="D82" t="s">
        <v>42</v>
      </c>
      <c r="E82" t="s">
        <v>43</v>
      </c>
      <c r="F82" t="s">
        <v>35</v>
      </c>
      <c r="G82" t="s">
        <v>31</v>
      </c>
      <c r="H82">
        <v>1</v>
      </c>
      <c r="I82">
        <v>600</v>
      </c>
    </row>
    <row r="83" spans="1:9" x14ac:dyDescent="0.3">
      <c r="A83" s="1">
        <v>46271</v>
      </c>
      <c r="B83">
        <v>2026</v>
      </c>
      <c r="C83">
        <v>9</v>
      </c>
      <c r="D83" t="s">
        <v>46</v>
      </c>
      <c r="E83" t="s">
        <v>47</v>
      </c>
      <c r="F83" t="s">
        <v>35</v>
      </c>
      <c r="G83" t="s">
        <v>31</v>
      </c>
      <c r="H83">
        <v>1</v>
      </c>
      <c r="I83">
        <v>600</v>
      </c>
    </row>
    <row r="84" spans="1:9" x14ac:dyDescent="0.3">
      <c r="A84" s="1">
        <v>46323</v>
      </c>
      <c r="B84">
        <v>2026</v>
      </c>
      <c r="C84">
        <v>10</v>
      </c>
      <c r="D84" t="s">
        <v>49</v>
      </c>
      <c r="E84" t="s">
        <v>47</v>
      </c>
      <c r="F84" t="s">
        <v>35</v>
      </c>
      <c r="G84" t="s">
        <v>31</v>
      </c>
      <c r="H84">
        <v>5</v>
      </c>
      <c r="I84">
        <v>3000</v>
      </c>
    </row>
    <row r="85" spans="1:9" x14ac:dyDescent="0.3">
      <c r="A85" s="1">
        <v>46250</v>
      </c>
      <c r="B85">
        <v>2026</v>
      </c>
      <c r="C85">
        <v>8</v>
      </c>
      <c r="D85" t="s">
        <v>48</v>
      </c>
      <c r="E85" t="s">
        <v>43</v>
      </c>
      <c r="F85" t="s">
        <v>35</v>
      </c>
      <c r="G85" t="s">
        <v>31</v>
      </c>
      <c r="H85">
        <v>1</v>
      </c>
      <c r="I85">
        <v>600</v>
      </c>
    </row>
    <row r="86" spans="1:9" x14ac:dyDescent="0.3">
      <c r="A86" s="1">
        <v>46278</v>
      </c>
      <c r="B86">
        <v>2026</v>
      </c>
      <c r="C86">
        <v>9</v>
      </c>
      <c r="D86" t="s">
        <v>46</v>
      </c>
      <c r="E86" t="s">
        <v>47</v>
      </c>
      <c r="F86" t="s">
        <v>35</v>
      </c>
      <c r="G86" t="s">
        <v>31</v>
      </c>
      <c r="H86">
        <v>4</v>
      </c>
      <c r="I86">
        <v>2400</v>
      </c>
    </row>
    <row r="87" spans="1:9" x14ac:dyDescent="0.3">
      <c r="A87" s="1">
        <v>46202</v>
      </c>
      <c r="B87">
        <v>2026</v>
      </c>
      <c r="C87">
        <v>6</v>
      </c>
      <c r="D87" t="s">
        <v>40</v>
      </c>
      <c r="E87" t="s">
        <v>41</v>
      </c>
      <c r="F87" t="s">
        <v>35</v>
      </c>
      <c r="G87" t="s">
        <v>31</v>
      </c>
      <c r="H87">
        <v>1</v>
      </c>
      <c r="I87">
        <v>600</v>
      </c>
    </row>
    <row r="88" spans="1:9" x14ac:dyDescent="0.3">
      <c r="A88" s="1">
        <v>46265</v>
      </c>
      <c r="B88">
        <v>2026</v>
      </c>
      <c r="C88">
        <v>8</v>
      </c>
      <c r="D88" t="s">
        <v>51</v>
      </c>
      <c r="E88" t="s">
        <v>45</v>
      </c>
      <c r="F88" t="s">
        <v>35</v>
      </c>
      <c r="G88" t="s">
        <v>31</v>
      </c>
      <c r="H88">
        <v>3</v>
      </c>
      <c r="I88">
        <v>1800</v>
      </c>
    </row>
    <row r="89" spans="1:9" x14ac:dyDescent="0.3">
      <c r="A89" s="1">
        <v>46113</v>
      </c>
      <c r="B89">
        <v>2026</v>
      </c>
      <c r="C89">
        <v>4</v>
      </c>
      <c r="D89" t="s">
        <v>44</v>
      </c>
      <c r="E89" t="s">
        <v>45</v>
      </c>
      <c r="F89" t="s">
        <v>35</v>
      </c>
      <c r="G89" t="s">
        <v>31</v>
      </c>
      <c r="H89">
        <v>5</v>
      </c>
      <c r="I89">
        <v>3000</v>
      </c>
    </row>
    <row r="90" spans="1:9" x14ac:dyDescent="0.3">
      <c r="A90" s="1">
        <v>46183</v>
      </c>
      <c r="B90">
        <v>2026</v>
      </c>
      <c r="C90">
        <v>6</v>
      </c>
      <c r="D90" t="s">
        <v>44</v>
      </c>
      <c r="E90" t="s">
        <v>45</v>
      </c>
      <c r="F90" t="s">
        <v>35</v>
      </c>
      <c r="G90" t="s">
        <v>31</v>
      </c>
      <c r="H90">
        <v>5</v>
      </c>
      <c r="I90">
        <v>3000</v>
      </c>
    </row>
    <row r="91" spans="1:9" x14ac:dyDescent="0.3">
      <c r="A91" s="1">
        <v>46041</v>
      </c>
      <c r="B91">
        <v>2026</v>
      </c>
      <c r="C91">
        <v>1</v>
      </c>
      <c r="D91" t="s">
        <v>46</v>
      </c>
      <c r="E91" t="s">
        <v>47</v>
      </c>
      <c r="F91" t="s">
        <v>35</v>
      </c>
      <c r="G91" t="s">
        <v>31</v>
      </c>
      <c r="H91">
        <v>2</v>
      </c>
      <c r="I91">
        <v>1200</v>
      </c>
    </row>
    <row r="92" spans="1:9" x14ac:dyDescent="0.3">
      <c r="A92" s="1">
        <v>46138</v>
      </c>
      <c r="B92">
        <v>2026</v>
      </c>
      <c r="C92">
        <v>4</v>
      </c>
      <c r="D92" t="s">
        <v>50</v>
      </c>
      <c r="E92" t="s">
        <v>41</v>
      </c>
      <c r="F92" t="s">
        <v>35</v>
      </c>
      <c r="G92" t="s">
        <v>31</v>
      </c>
      <c r="H92">
        <v>3</v>
      </c>
      <c r="I92">
        <v>1800</v>
      </c>
    </row>
    <row r="93" spans="1:9" x14ac:dyDescent="0.3">
      <c r="A93" s="1">
        <v>46131</v>
      </c>
      <c r="B93">
        <v>2026</v>
      </c>
      <c r="C93">
        <v>4</v>
      </c>
      <c r="D93" t="s">
        <v>49</v>
      </c>
      <c r="E93" t="s">
        <v>47</v>
      </c>
      <c r="F93" t="s">
        <v>35</v>
      </c>
      <c r="G93" t="s">
        <v>31</v>
      </c>
      <c r="H93">
        <v>4</v>
      </c>
      <c r="I93">
        <v>2400</v>
      </c>
    </row>
    <row r="94" spans="1:9" x14ac:dyDescent="0.3">
      <c r="A94" s="1">
        <v>46130</v>
      </c>
      <c r="B94">
        <v>2026</v>
      </c>
      <c r="C94">
        <v>4</v>
      </c>
      <c r="D94" t="s">
        <v>49</v>
      </c>
      <c r="E94" t="s">
        <v>47</v>
      </c>
      <c r="F94" t="s">
        <v>35</v>
      </c>
      <c r="G94" t="s">
        <v>31</v>
      </c>
      <c r="H94">
        <v>1</v>
      </c>
      <c r="I94">
        <v>600</v>
      </c>
    </row>
    <row r="95" spans="1:9" x14ac:dyDescent="0.3">
      <c r="A95" s="1">
        <v>46204</v>
      </c>
      <c r="B95">
        <v>2026</v>
      </c>
      <c r="C95">
        <v>7</v>
      </c>
      <c r="D95" t="s">
        <v>51</v>
      </c>
      <c r="E95" t="s">
        <v>45</v>
      </c>
      <c r="F95" t="s">
        <v>35</v>
      </c>
      <c r="G95" t="s">
        <v>31</v>
      </c>
      <c r="H95">
        <v>5</v>
      </c>
      <c r="I95">
        <v>3000</v>
      </c>
    </row>
    <row r="96" spans="1:9" x14ac:dyDescent="0.3">
      <c r="A96" s="1">
        <v>46036</v>
      </c>
      <c r="B96">
        <v>2026</v>
      </c>
      <c r="C96">
        <v>1</v>
      </c>
      <c r="D96" t="s">
        <v>46</v>
      </c>
      <c r="E96" t="s">
        <v>47</v>
      </c>
      <c r="F96" t="s">
        <v>35</v>
      </c>
      <c r="G96" t="s">
        <v>31</v>
      </c>
      <c r="H96">
        <v>5</v>
      </c>
      <c r="I96">
        <v>3000</v>
      </c>
    </row>
    <row r="97" spans="1:9" x14ac:dyDescent="0.3">
      <c r="A97" s="1">
        <v>46268</v>
      </c>
      <c r="B97">
        <v>2026</v>
      </c>
      <c r="C97">
        <v>9</v>
      </c>
      <c r="D97" t="s">
        <v>46</v>
      </c>
      <c r="E97" t="s">
        <v>47</v>
      </c>
      <c r="F97" t="s">
        <v>35</v>
      </c>
      <c r="G97" t="s">
        <v>31</v>
      </c>
      <c r="H97">
        <v>4</v>
      </c>
      <c r="I97">
        <v>2400</v>
      </c>
    </row>
    <row r="98" spans="1:9" x14ac:dyDescent="0.3">
      <c r="A98" s="1">
        <v>46321</v>
      </c>
      <c r="B98">
        <v>2026</v>
      </c>
      <c r="C98">
        <v>10</v>
      </c>
      <c r="D98" t="s">
        <v>49</v>
      </c>
      <c r="E98" t="s">
        <v>47</v>
      </c>
      <c r="F98" t="s">
        <v>35</v>
      </c>
      <c r="G98" t="s">
        <v>31</v>
      </c>
      <c r="H98">
        <v>5</v>
      </c>
      <c r="I98">
        <v>3000</v>
      </c>
    </row>
    <row r="99" spans="1:9" x14ac:dyDescent="0.3">
      <c r="A99" s="1">
        <v>46307</v>
      </c>
      <c r="B99">
        <v>2026</v>
      </c>
      <c r="C99">
        <v>10</v>
      </c>
      <c r="D99" t="s">
        <v>50</v>
      </c>
      <c r="E99" t="s">
        <v>41</v>
      </c>
      <c r="F99" t="s">
        <v>35</v>
      </c>
      <c r="G99" t="s">
        <v>31</v>
      </c>
      <c r="H99">
        <v>2</v>
      </c>
      <c r="I99">
        <v>1200</v>
      </c>
    </row>
    <row r="100" spans="1:9" x14ac:dyDescent="0.3">
      <c r="A100" s="1">
        <v>46070</v>
      </c>
      <c r="B100">
        <v>2026</v>
      </c>
      <c r="C100">
        <v>2</v>
      </c>
      <c r="D100" t="s">
        <v>40</v>
      </c>
      <c r="E100" t="s">
        <v>41</v>
      </c>
      <c r="F100" t="s">
        <v>35</v>
      </c>
      <c r="G100" t="s">
        <v>31</v>
      </c>
      <c r="H100">
        <v>2</v>
      </c>
      <c r="I100">
        <v>1200</v>
      </c>
    </row>
    <row r="101" spans="1:9" x14ac:dyDescent="0.3">
      <c r="A101" s="1">
        <v>46076</v>
      </c>
      <c r="B101">
        <v>2026</v>
      </c>
      <c r="C101">
        <v>2</v>
      </c>
      <c r="D101" t="s">
        <v>48</v>
      </c>
      <c r="E101" t="s">
        <v>43</v>
      </c>
      <c r="F101" t="s">
        <v>35</v>
      </c>
      <c r="G101" t="s">
        <v>31</v>
      </c>
      <c r="H101">
        <v>4</v>
      </c>
      <c r="I101">
        <v>2400</v>
      </c>
    </row>
    <row r="102" spans="1:9" x14ac:dyDescent="0.3">
      <c r="A102" s="1">
        <v>46319</v>
      </c>
      <c r="B102">
        <v>2026</v>
      </c>
      <c r="C102">
        <v>10</v>
      </c>
      <c r="D102" t="s">
        <v>49</v>
      </c>
      <c r="E102" t="s">
        <v>47</v>
      </c>
      <c r="F102" t="s">
        <v>35</v>
      </c>
      <c r="G102" t="s">
        <v>31</v>
      </c>
      <c r="H102">
        <v>1</v>
      </c>
      <c r="I102">
        <v>600</v>
      </c>
    </row>
    <row r="103" spans="1:9" x14ac:dyDescent="0.3">
      <c r="A103" s="1">
        <v>46058</v>
      </c>
      <c r="B103">
        <v>2026</v>
      </c>
      <c r="C103">
        <v>2</v>
      </c>
      <c r="D103" t="s">
        <v>50</v>
      </c>
      <c r="E103" t="s">
        <v>41</v>
      </c>
      <c r="F103" t="s">
        <v>35</v>
      </c>
      <c r="G103" t="s">
        <v>31</v>
      </c>
      <c r="H103">
        <v>5</v>
      </c>
      <c r="I103">
        <v>3000</v>
      </c>
    </row>
    <row r="104" spans="1:9" x14ac:dyDescent="0.3">
      <c r="A104" s="1">
        <v>46203</v>
      </c>
      <c r="B104">
        <v>2026</v>
      </c>
      <c r="C104">
        <v>6</v>
      </c>
      <c r="D104" t="s">
        <v>46</v>
      </c>
      <c r="E104" t="s">
        <v>47</v>
      </c>
      <c r="F104" t="s">
        <v>35</v>
      </c>
      <c r="G104" t="s">
        <v>31</v>
      </c>
      <c r="H104">
        <v>1</v>
      </c>
      <c r="I104">
        <v>600</v>
      </c>
    </row>
    <row r="105" spans="1:9" x14ac:dyDescent="0.3">
      <c r="A105" s="1">
        <v>46192</v>
      </c>
      <c r="B105">
        <v>2026</v>
      </c>
      <c r="C105">
        <v>6</v>
      </c>
      <c r="D105" t="s">
        <v>44</v>
      </c>
      <c r="E105" t="s">
        <v>45</v>
      </c>
      <c r="F105" t="s">
        <v>35</v>
      </c>
      <c r="G105" t="s">
        <v>31</v>
      </c>
      <c r="H105">
        <v>5</v>
      </c>
      <c r="I105">
        <v>3000</v>
      </c>
    </row>
    <row r="106" spans="1:9" x14ac:dyDescent="0.3">
      <c r="A106" s="1">
        <v>46166</v>
      </c>
      <c r="B106">
        <v>2026</v>
      </c>
      <c r="C106">
        <v>5</v>
      </c>
      <c r="D106" t="s">
        <v>51</v>
      </c>
      <c r="E106" t="s">
        <v>45</v>
      </c>
      <c r="F106" t="s">
        <v>35</v>
      </c>
      <c r="G106" t="s">
        <v>31</v>
      </c>
      <c r="H106">
        <v>1</v>
      </c>
      <c r="I106">
        <v>600</v>
      </c>
    </row>
    <row r="107" spans="1:9" x14ac:dyDescent="0.3">
      <c r="A107" s="1">
        <v>46040</v>
      </c>
      <c r="B107">
        <v>2026</v>
      </c>
      <c r="C107">
        <v>1</v>
      </c>
      <c r="D107" t="s">
        <v>51</v>
      </c>
      <c r="E107" t="s">
        <v>45</v>
      </c>
      <c r="F107" t="s">
        <v>35</v>
      </c>
      <c r="G107" t="s">
        <v>31</v>
      </c>
      <c r="H107">
        <v>4</v>
      </c>
      <c r="I107">
        <v>2400</v>
      </c>
    </row>
    <row r="108" spans="1:9" x14ac:dyDescent="0.3">
      <c r="A108" s="1">
        <v>46252</v>
      </c>
      <c r="B108">
        <v>2026</v>
      </c>
      <c r="C108">
        <v>8</v>
      </c>
      <c r="D108" t="s">
        <v>51</v>
      </c>
      <c r="E108" t="s">
        <v>45</v>
      </c>
      <c r="F108" t="s">
        <v>35</v>
      </c>
      <c r="G108" t="s">
        <v>31</v>
      </c>
      <c r="H108">
        <v>1</v>
      </c>
      <c r="I108">
        <v>600</v>
      </c>
    </row>
    <row r="109" spans="1:9" x14ac:dyDescent="0.3">
      <c r="A109" s="1">
        <v>46197</v>
      </c>
      <c r="B109">
        <v>2026</v>
      </c>
      <c r="C109">
        <v>6</v>
      </c>
      <c r="D109" t="s">
        <v>49</v>
      </c>
      <c r="E109" t="s">
        <v>47</v>
      </c>
      <c r="F109" t="s">
        <v>35</v>
      </c>
      <c r="G109" t="s">
        <v>31</v>
      </c>
      <c r="H109">
        <v>5</v>
      </c>
      <c r="I109">
        <v>3000</v>
      </c>
    </row>
    <row r="110" spans="1:9" x14ac:dyDescent="0.3">
      <c r="A110" s="1">
        <v>46030</v>
      </c>
      <c r="B110">
        <v>2026</v>
      </c>
      <c r="C110">
        <v>1</v>
      </c>
      <c r="D110" t="s">
        <v>42</v>
      </c>
      <c r="E110" t="s">
        <v>43</v>
      </c>
      <c r="F110" t="s">
        <v>35</v>
      </c>
      <c r="G110" t="s">
        <v>31</v>
      </c>
      <c r="H110">
        <v>3</v>
      </c>
      <c r="I110">
        <v>1800</v>
      </c>
    </row>
    <row r="111" spans="1:9" x14ac:dyDescent="0.3">
      <c r="A111" s="1">
        <v>46099</v>
      </c>
      <c r="B111">
        <v>2026</v>
      </c>
      <c r="C111">
        <v>3</v>
      </c>
      <c r="D111" t="s">
        <v>50</v>
      </c>
      <c r="E111" t="s">
        <v>41</v>
      </c>
      <c r="F111" t="s">
        <v>35</v>
      </c>
      <c r="G111" t="s">
        <v>31</v>
      </c>
      <c r="H111">
        <v>3</v>
      </c>
      <c r="I111">
        <v>1800</v>
      </c>
    </row>
    <row r="112" spans="1:9" x14ac:dyDescent="0.3">
      <c r="A112" s="1">
        <v>46064</v>
      </c>
      <c r="B112">
        <v>2026</v>
      </c>
      <c r="C112">
        <v>2</v>
      </c>
      <c r="D112" t="s">
        <v>42</v>
      </c>
      <c r="E112" t="s">
        <v>43</v>
      </c>
      <c r="F112" t="s">
        <v>35</v>
      </c>
      <c r="G112" t="s">
        <v>31</v>
      </c>
      <c r="H112">
        <v>5</v>
      </c>
      <c r="I112">
        <v>3000</v>
      </c>
    </row>
    <row r="113" spans="1:9" x14ac:dyDescent="0.3">
      <c r="A113" s="1">
        <v>46123</v>
      </c>
      <c r="B113">
        <v>2026</v>
      </c>
      <c r="C113">
        <v>4</v>
      </c>
      <c r="D113" t="s">
        <v>40</v>
      </c>
      <c r="E113" t="s">
        <v>41</v>
      </c>
      <c r="F113" t="s">
        <v>35</v>
      </c>
      <c r="G113" t="s">
        <v>31</v>
      </c>
      <c r="H113">
        <v>5</v>
      </c>
      <c r="I113">
        <v>3000</v>
      </c>
    </row>
    <row r="114" spans="1:9" x14ac:dyDescent="0.3">
      <c r="A114" s="1">
        <v>46218</v>
      </c>
      <c r="B114">
        <v>2026</v>
      </c>
      <c r="C114">
        <v>7</v>
      </c>
      <c r="D114" t="s">
        <v>51</v>
      </c>
      <c r="E114" t="s">
        <v>45</v>
      </c>
      <c r="F114" t="s">
        <v>35</v>
      </c>
      <c r="G114" t="s">
        <v>31</v>
      </c>
      <c r="H114">
        <v>4</v>
      </c>
      <c r="I114">
        <v>2400</v>
      </c>
    </row>
    <row r="115" spans="1:9" x14ac:dyDescent="0.3">
      <c r="A115" s="1">
        <v>46214</v>
      </c>
      <c r="B115">
        <v>2026</v>
      </c>
      <c r="C115">
        <v>7</v>
      </c>
      <c r="D115" t="s">
        <v>46</v>
      </c>
      <c r="E115" t="s">
        <v>47</v>
      </c>
      <c r="F115" t="s">
        <v>35</v>
      </c>
      <c r="G115" t="s">
        <v>31</v>
      </c>
      <c r="H115">
        <v>4</v>
      </c>
      <c r="I115">
        <v>2400</v>
      </c>
    </row>
    <row r="116" spans="1:9" x14ac:dyDescent="0.3">
      <c r="A116" s="1">
        <v>46108</v>
      </c>
      <c r="B116">
        <v>2026</v>
      </c>
      <c r="C116">
        <v>3</v>
      </c>
      <c r="D116" t="s">
        <v>44</v>
      </c>
      <c r="E116" t="s">
        <v>45</v>
      </c>
      <c r="F116" t="s">
        <v>35</v>
      </c>
      <c r="G116" t="s">
        <v>31</v>
      </c>
      <c r="H116">
        <v>4</v>
      </c>
      <c r="I116">
        <v>2400</v>
      </c>
    </row>
    <row r="117" spans="1:9" x14ac:dyDescent="0.3">
      <c r="A117" s="1">
        <v>46088</v>
      </c>
      <c r="B117">
        <v>2026</v>
      </c>
      <c r="C117">
        <v>3</v>
      </c>
      <c r="D117" t="s">
        <v>48</v>
      </c>
      <c r="E117" t="s">
        <v>43</v>
      </c>
      <c r="F117" t="s">
        <v>35</v>
      </c>
      <c r="G117" t="s">
        <v>31</v>
      </c>
      <c r="H117">
        <v>2</v>
      </c>
      <c r="I117">
        <v>1200</v>
      </c>
    </row>
    <row r="118" spans="1:9" x14ac:dyDescent="0.3">
      <c r="A118" s="1">
        <v>46285</v>
      </c>
      <c r="B118">
        <v>2026</v>
      </c>
      <c r="C118">
        <v>9</v>
      </c>
      <c r="D118" t="s">
        <v>44</v>
      </c>
      <c r="E118" t="s">
        <v>45</v>
      </c>
      <c r="F118" t="s">
        <v>35</v>
      </c>
      <c r="G118" t="s">
        <v>31</v>
      </c>
      <c r="H118">
        <v>2</v>
      </c>
      <c r="I118">
        <v>1200</v>
      </c>
    </row>
    <row r="119" spans="1:9" x14ac:dyDescent="0.3">
      <c r="A119" s="1">
        <v>46311</v>
      </c>
      <c r="B119">
        <v>2026</v>
      </c>
      <c r="C119">
        <v>10</v>
      </c>
      <c r="D119" t="s">
        <v>48</v>
      </c>
      <c r="E119" t="s">
        <v>43</v>
      </c>
      <c r="F119" t="s">
        <v>35</v>
      </c>
      <c r="G119" t="s">
        <v>31</v>
      </c>
      <c r="H119">
        <v>5</v>
      </c>
      <c r="I119">
        <v>3000</v>
      </c>
    </row>
    <row r="120" spans="1:9" x14ac:dyDescent="0.3">
      <c r="A120" s="1">
        <v>46050</v>
      </c>
      <c r="B120">
        <v>2026</v>
      </c>
      <c r="C120">
        <v>1</v>
      </c>
      <c r="D120" t="s">
        <v>50</v>
      </c>
      <c r="E120" t="s">
        <v>41</v>
      </c>
      <c r="F120" t="s">
        <v>35</v>
      </c>
      <c r="G120" t="s">
        <v>31</v>
      </c>
      <c r="H120">
        <v>4</v>
      </c>
      <c r="I120">
        <v>2400</v>
      </c>
    </row>
    <row r="121" spans="1:9" x14ac:dyDescent="0.3">
      <c r="A121" s="1">
        <v>46027</v>
      </c>
      <c r="B121">
        <v>2026</v>
      </c>
      <c r="C121">
        <v>1</v>
      </c>
      <c r="D121" t="s">
        <v>48</v>
      </c>
      <c r="E121" t="s">
        <v>43</v>
      </c>
      <c r="F121" t="s">
        <v>35</v>
      </c>
      <c r="G121" t="s">
        <v>31</v>
      </c>
      <c r="H121">
        <v>4</v>
      </c>
      <c r="I121">
        <v>2400</v>
      </c>
    </row>
    <row r="122" spans="1:9" x14ac:dyDescent="0.3">
      <c r="A122" s="1">
        <v>46160</v>
      </c>
      <c r="B122">
        <v>2026</v>
      </c>
      <c r="C122">
        <v>5</v>
      </c>
      <c r="D122" t="s">
        <v>50</v>
      </c>
      <c r="E122" t="s">
        <v>41</v>
      </c>
      <c r="F122" t="s">
        <v>35</v>
      </c>
      <c r="G122" t="s">
        <v>31</v>
      </c>
      <c r="H122">
        <v>4</v>
      </c>
      <c r="I122">
        <v>2400</v>
      </c>
    </row>
    <row r="123" spans="1:9" x14ac:dyDescent="0.3">
      <c r="A123" s="1">
        <v>46184</v>
      </c>
      <c r="B123">
        <v>2026</v>
      </c>
      <c r="C123">
        <v>6</v>
      </c>
      <c r="D123" t="s">
        <v>46</v>
      </c>
      <c r="E123" t="s">
        <v>47</v>
      </c>
      <c r="F123" t="s">
        <v>35</v>
      </c>
      <c r="G123" t="s">
        <v>31</v>
      </c>
      <c r="H123">
        <v>3</v>
      </c>
      <c r="I123">
        <v>1800</v>
      </c>
    </row>
    <row r="124" spans="1:9" x14ac:dyDescent="0.3">
      <c r="A124" s="1">
        <v>46116</v>
      </c>
      <c r="B124">
        <v>2026</v>
      </c>
      <c r="C124">
        <v>4</v>
      </c>
      <c r="D124" t="s">
        <v>40</v>
      </c>
      <c r="E124" t="s">
        <v>41</v>
      </c>
      <c r="F124" t="s">
        <v>35</v>
      </c>
      <c r="G124" t="s">
        <v>31</v>
      </c>
      <c r="H124">
        <v>2</v>
      </c>
      <c r="I124">
        <v>1200</v>
      </c>
    </row>
    <row r="125" spans="1:9" x14ac:dyDescent="0.3">
      <c r="A125" s="1">
        <v>46175</v>
      </c>
      <c r="B125">
        <v>2026</v>
      </c>
      <c r="C125">
        <v>6</v>
      </c>
      <c r="D125" t="s">
        <v>49</v>
      </c>
      <c r="E125" t="s">
        <v>47</v>
      </c>
      <c r="F125" t="s">
        <v>35</v>
      </c>
      <c r="G125" t="s">
        <v>31</v>
      </c>
      <c r="H125">
        <v>5</v>
      </c>
      <c r="I125">
        <v>3000</v>
      </c>
    </row>
    <row r="126" spans="1:9" x14ac:dyDescent="0.3">
      <c r="A126" s="1">
        <v>46310</v>
      </c>
      <c r="B126">
        <v>2026</v>
      </c>
      <c r="C126">
        <v>10</v>
      </c>
      <c r="D126" t="s">
        <v>50</v>
      </c>
      <c r="E126" t="s">
        <v>41</v>
      </c>
      <c r="F126" t="s">
        <v>35</v>
      </c>
      <c r="G126" t="s">
        <v>31</v>
      </c>
      <c r="H126">
        <v>5</v>
      </c>
      <c r="I126">
        <v>3000</v>
      </c>
    </row>
    <row r="127" spans="1:9" x14ac:dyDescent="0.3">
      <c r="A127" s="1">
        <v>46023</v>
      </c>
      <c r="B127">
        <v>2026</v>
      </c>
      <c r="C127">
        <v>1</v>
      </c>
      <c r="D127" t="s">
        <v>42</v>
      </c>
      <c r="E127" t="s">
        <v>43</v>
      </c>
      <c r="F127" t="s">
        <v>35</v>
      </c>
      <c r="G127" t="s">
        <v>31</v>
      </c>
      <c r="H127">
        <v>2</v>
      </c>
      <c r="I127">
        <v>1200</v>
      </c>
    </row>
    <row r="128" spans="1:9" x14ac:dyDescent="0.3">
      <c r="A128" s="1">
        <v>46208</v>
      </c>
      <c r="B128">
        <v>2026</v>
      </c>
      <c r="C128">
        <v>7</v>
      </c>
      <c r="D128" t="s">
        <v>48</v>
      </c>
      <c r="E128" t="s">
        <v>43</v>
      </c>
      <c r="F128" t="s">
        <v>35</v>
      </c>
      <c r="G128" t="s">
        <v>31</v>
      </c>
      <c r="H128">
        <v>2</v>
      </c>
      <c r="I128">
        <v>1200</v>
      </c>
    </row>
    <row r="129" spans="1:9" x14ac:dyDescent="0.3">
      <c r="A129" s="1">
        <v>46075</v>
      </c>
      <c r="B129">
        <v>2026</v>
      </c>
      <c r="C129">
        <v>2</v>
      </c>
      <c r="D129" t="s">
        <v>49</v>
      </c>
      <c r="E129" t="s">
        <v>47</v>
      </c>
      <c r="F129" t="s">
        <v>35</v>
      </c>
      <c r="G129" t="s">
        <v>31</v>
      </c>
      <c r="H129">
        <v>4</v>
      </c>
      <c r="I129">
        <v>2400</v>
      </c>
    </row>
    <row r="130" spans="1:9" x14ac:dyDescent="0.3">
      <c r="A130" s="1">
        <v>46245</v>
      </c>
      <c r="B130">
        <v>2026</v>
      </c>
      <c r="C130">
        <v>8</v>
      </c>
      <c r="D130" t="s">
        <v>48</v>
      </c>
      <c r="E130" t="s">
        <v>43</v>
      </c>
      <c r="F130" t="s">
        <v>35</v>
      </c>
      <c r="G130" t="s">
        <v>31</v>
      </c>
      <c r="H130">
        <v>5</v>
      </c>
      <c r="I130">
        <v>3000</v>
      </c>
    </row>
    <row r="131" spans="1:9" x14ac:dyDescent="0.3">
      <c r="A131" s="1">
        <v>46297</v>
      </c>
      <c r="B131">
        <v>2026</v>
      </c>
      <c r="C131">
        <v>10</v>
      </c>
      <c r="D131" t="s">
        <v>46</v>
      </c>
      <c r="E131" t="s">
        <v>47</v>
      </c>
      <c r="F131" t="s">
        <v>35</v>
      </c>
      <c r="G131" t="s">
        <v>31</v>
      </c>
      <c r="H131">
        <v>3</v>
      </c>
      <c r="I131">
        <v>1800</v>
      </c>
    </row>
    <row r="132" spans="1:9" x14ac:dyDescent="0.3">
      <c r="A132" s="1">
        <v>46210</v>
      </c>
      <c r="B132">
        <v>2026</v>
      </c>
      <c r="C132">
        <v>7</v>
      </c>
      <c r="D132" t="s">
        <v>51</v>
      </c>
      <c r="E132" t="s">
        <v>45</v>
      </c>
      <c r="F132" t="s">
        <v>35</v>
      </c>
      <c r="G132" t="s">
        <v>31</v>
      </c>
      <c r="H132">
        <v>3</v>
      </c>
      <c r="I132">
        <v>1800</v>
      </c>
    </row>
    <row r="133" spans="1:9" x14ac:dyDescent="0.3">
      <c r="A133" s="1">
        <v>46159</v>
      </c>
      <c r="B133">
        <v>2026</v>
      </c>
      <c r="C133">
        <v>5</v>
      </c>
      <c r="D133" t="s">
        <v>49</v>
      </c>
      <c r="E133" t="s">
        <v>47</v>
      </c>
      <c r="F133" t="s">
        <v>35</v>
      </c>
      <c r="G133" t="s">
        <v>31</v>
      </c>
      <c r="H133">
        <v>4</v>
      </c>
      <c r="I133">
        <v>2400</v>
      </c>
    </row>
    <row r="134" spans="1:9" x14ac:dyDescent="0.3">
      <c r="A134" s="1">
        <v>46082</v>
      </c>
      <c r="B134">
        <v>2026</v>
      </c>
      <c r="C134">
        <v>3</v>
      </c>
      <c r="D134" t="s">
        <v>40</v>
      </c>
      <c r="E134" t="s">
        <v>41</v>
      </c>
      <c r="F134" t="s">
        <v>35</v>
      </c>
      <c r="G134" t="s">
        <v>31</v>
      </c>
      <c r="H134">
        <v>4</v>
      </c>
      <c r="I134">
        <v>2400</v>
      </c>
    </row>
    <row r="135" spans="1:9" x14ac:dyDescent="0.3">
      <c r="A135" s="1">
        <v>46239</v>
      </c>
      <c r="B135">
        <v>2026</v>
      </c>
      <c r="C135">
        <v>8</v>
      </c>
      <c r="D135" t="s">
        <v>44</v>
      </c>
      <c r="E135" t="s">
        <v>45</v>
      </c>
      <c r="F135" t="s">
        <v>35</v>
      </c>
      <c r="G135" t="s">
        <v>31</v>
      </c>
      <c r="H135">
        <v>2</v>
      </c>
      <c r="I135">
        <v>1200</v>
      </c>
    </row>
    <row r="136" spans="1:9" x14ac:dyDescent="0.3">
      <c r="A136" s="1">
        <v>46306</v>
      </c>
      <c r="B136">
        <v>2026</v>
      </c>
      <c r="C136">
        <v>10</v>
      </c>
      <c r="D136" t="s">
        <v>46</v>
      </c>
      <c r="E136" t="s">
        <v>47</v>
      </c>
      <c r="F136" t="s">
        <v>35</v>
      </c>
      <c r="G136" t="s">
        <v>31</v>
      </c>
      <c r="H136">
        <v>3</v>
      </c>
      <c r="I136">
        <v>1800</v>
      </c>
    </row>
    <row r="137" spans="1:9" x14ac:dyDescent="0.3">
      <c r="A137" s="1">
        <v>46213</v>
      </c>
      <c r="B137">
        <v>2026</v>
      </c>
      <c r="C137">
        <v>7</v>
      </c>
      <c r="D137" t="s">
        <v>48</v>
      </c>
      <c r="E137" t="s">
        <v>43</v>
      </c>
      <c r="F137" t="s">
        <v>35</v>
      </c>
      <c r="G137" t="s">
        <v>31</v>
      </c>
      <c r="H137">
        <v>5</v>
      </c>
      <c r="I137">
        <v>3000</v>
      </c>
    </row>
    <row r="138" spans="1:9" x14ac:dyDescent="0.3">
      <c r="A138" s="1">
        <v>46099</v>
      </c>
      <c r="B138">
        <v>2026</v>
      </c>
      <c r="C138">
        <v>3</v>
      </c>
      <c r="D138" t="s">
        <v>50</v>
      </c>
      <c r="E138" t="s">
        <v>41</v>
      </c>
      <c r="F138" t="s">
        <v>35</v>
      </c>
      <c r="G138" t="s">
        <v>31</v>
      </c>
      <c r="H138">
        <v>4</v>
      </c>
      <c r="I138">
        <v>2400</v>
      </c>
    </row>
    <row r="139" spans="1:9" x14ac:dyDescent="0.3">
      <c r="A139" s="1">
        <v>46246</v>
      </c>
      <c r="B139">
        <v>2026</v>
      </c>
      <c r="C139">
        <v>8</v>
      </c>
      <c r="D139" t="s">
        <v>46</v>
      </c>
      <c r="E139" t="s">
        <v>47</v>
      </c>
      <c r="F139" t="s">
        <v>35</v>
      </c>
      <c r="G139" t="s">
        <v>31</v>
      </c>
      <c r="H139">
        <v>5</v>
      </c>
      <c r="I139">
        <v>3000</v>
      </c>
    </row>
    <row r="140" spans="1:9" x14ac:dyDescent="0.3">
      <c r="A140" s="1">
        <v>46025</v>
      </c>
      <c r="B140">
        <v>2026</v>
      </c>
      <c r="C140">
        <v>1</v>
      </c>
      <c r="D140" t="s">
        <v>51</v>
      </c>
      <c r="E140" t="s">
        <v>45</v>
      </c>
      <c r="F140" t="s">
        <v>35</v>
      </c>
      <c r="G140" t="s">
        <v>31</v>
      </c>
      <c r="H140">
        <v>1</v>
      </c>
      <c r="I140">
        <v>600</v>
      </c>
    </row>
    <row r="141" spans="1:9" x14ac:dyDescent="0.3">
      <c r="A141" s="1">
        <v>46254</v>
      </c>
      <c r="B141">
        <v>2026</v>
      </c>
      <c r="C141">
        <v>8</v>
      </c>
      <c r="D141" t="s">
        <v>48</v>
      </c>
      <c r="E141" t="s">
        <v>43</v>
      </c>
      <c r="F141" t="s">
        <v>35</v>
      </c>
      <c r="G141" t="s">
        <v>31</v>
      </c>
      <c r="H141">
        <v>3</v>
      </c>
      <c r="I141">
        <v>1800</v>
      </c>
    </row>
    <row r="142" spans="1:9" x14ac:dyDescent="0.3">
      <c r="A142" s="1">
        <v>46323</v>
      </c>
      <c r="B142">
        <v>2026</v>
      </c>
      <c r="C142">
        <v>10</v>
      </c>
      <c r="D142" t="s">
        <v>49</v>
      </c>
      <c r="E142" t="s">
        <v>47</v>
      </c>
      <c r="F142" t="s">
        <v>35</v>
      </c>
      <c r="G142" t="s">
        <v>31</v>
      </c>
      <c r="H142">
        <v>5</v>
      </c>
      <c r="I142">
        <v>3000</v>
      </c>
    </row>
    <row r="143" spans="1:9" x14ac:dyDescent="0.3">
      <c r="A143" s="1">
        <v>46084</v>
      </c>
      <c r="B143">
        <v>2026</v>
      </c>
      <c r="C143">
        <v>3</v>
      </c>
      <c r="D143" t="s">
        <v>49</v>
      </c>
      <c r="E143" t="s">
        <v>47</v>
      </c>
      <c r="F143" t="s">
        <v>35</v>
      </c>
      <c r="G143" t="s">
        <v>31</v>
      </c>
      <c r="H143">
        <v>2</v>
      </c>
      <c r="I143">
        <v>1200</v>
      </c>
    </row>
    <row r="144" spans="1:9" x14ac:dyDescent="0.3">
      <c r="A144" s="1">
        <v>46135</v>
      </c>
      <c r="B144">
        <v>2026</v>
      </c>
      <c r="C144">
        <v>4</v>
      </c>
      <c r="D144" t="s">
        <v>51</v>
      </c>
      <c r="E144" t="s">
        <v>45</v>
      </c>
      <c r="F144" t="s">
        <v>35</v>
      </c>
      <c r="G144" t="s">
        <v>31</v>
      </c>
      <c r="H144">
        <v>5</v>
      </c>
      <c r="I144">
        <v>3000</v>
      </c>
    </row>
    <row r="145" spans="1:9" x14ac:dyDescent="0.3">
      <c r="A145" s="1">
        <v>46173</v>
      </c>
      <c r="B145">
        <v>2026</v>
      </c>
      <c r="C145">
        <v>5</v>
      </c>
      <c r="D145" t="s">
        <v>50</v>
      </c>
      <c r="E145" t="s">
        <v>41</v>
      </c>
      <c r="F145" t="s">
        <v>35</v>
      </c>
      <c r="G145" t="s">
        <v>31</v>
      </c>
      <c r="H145">
        <v>1</v>
      </c>
      <c r="I145">
        <v>600</v>
      </c>
    </row>
    <row r="146" spans="1:9" x14ac:dyDescent="0.3">
      <c r="A146" s="1">
        <v>46060</v>
      </c>
      <c r="B146">
        <v>2026</v>
      </c>
      <c r="C146">
        <v>2</v>
      </c>
      <c r="D146" t="s">
        <v>51</v>
      </c>
      <c r="E146" t="s">
        <v>45</v>
      </c>
      <c r="F146" t="s">
        <v>35</v>
      </c>
      <c r="G146" t="s">
        <v>31</v>
      </c>
      <c r="H146">
        <v>2</v>
      </c>
      <c r="I146">
        <v>1200</v>
      </c>
    </row>
    <row r="147" spans="1:9" x14ac:dyDescent="0.3">
      <c r="A147" s="1">
        <v>46323</v>
      </c>
      <c r="B147">
        <v>2026</v>
      </c>
      <c r="C147">
        <v>10</v>
      </c>
      <c r="D147" t="s">
        <v>44</v>
      </c>
      <c r="E147" t="s">
        <v>45</v>
      </c>
      <c r="F147" t="s">
        <v>35</v>
      </c>
      <c r="G147" t="s">
        <v>31</v>
      </c>
      <c r="H147">
        <v>3</v>
      </c>
      <c r="I147">
        <v>1800</v>
      </c>
    </row>
    <row r="148" spans="1:9" x14ac:dyDescent="0.3">
      <c r="A148" s="1">
        <v>46323</v>
      </c>
      <c r="B148">
        <v>2026</v>
      </c>
      <c r="C148">
        <v>10</v>
      </c>
      <c r="D148" t="s">
        <v>44</v>
      </c>
      <c r="E148" t="s">
        <v>45</v>
      </c>
      <c r="F148" t="s">
        <v>35</v>
      </c>
      <c r="G148" t="s">
        <v>31</v>
      </c>
      <c r="H148">
        <v>5</v>
      </c>
      <c r="I148">
        <v>3000</v>
      </c>
    </row>
    <row r="149" spans="1:9" x14ac:dyDescent="0.3">
      <c r="A149" s="1">
        <v>46167</v>
      </c>
      <c r="B149">
        <v>2026</v>
      </c>
      <c r="C149">
        <v>5</v>
      </c>
      <c r="D149" t="s">
        <v>50</v>
      </c>
      <c r="E149" t="s">
        <v>41</v>
      </c>
      <c r="F149" t="s">
        <v>35</v>
      </c>
      <c r="G149" t="s">
        <v>31</v>
      </c>
      <c r="H149">
        <v>1</v>
      </c>
      <c r="I149">
        <v>600</v>
      </c>
    </row>
    <row r="150" spans="1:9" x14ac:dyDescent="0.3">
      <c r="A150" s="1">
        <v>46118</v>
      </c>
      <c r="B150">
        <v>2026</v>
      </c>
      <c r="C150">
        <v>4</v>
      </c>
      <c r="D150" t="s">
        <v>48</v>
      </c>
      <c r="E150" t="s">
        <v>43</v>
      </c>
      <c r="F150" t="s">
        <v>35</v>
      </c>
      <c r="G150" t="s">
        <v>31</v>
      </c>
      <c r="H150">
        <v>3</v>
      </c>
      <c r="I150">
        <v>1800</v>
      </c>
    </row>
    <row r="151" spans="1:9" x14ac:dyDescent="0.3">
      <c r="A151" s="1">
        <v>46096</v>
      </c>
      <c r="B151">
        <v>2026</v>
      </c>
      <c r="C151">
        <v>3</v>
      </c>
      <c r="D151" t="s">
        <v>48</v>
      </c>
      <c r="E151" t="s">
        <v>43</v>
      </c>
      <c r="F151" t="s">
        <v>35</v>
      </c>
      <c r="G151" t="s">
        <v>31</v>
      </c>
      <c r="H151">
        <v>5</v>
      </c>
      <c r="I151">
        <v>3000</v>
      </c>
    </row>
    <row r="152" spans="1:9" x14ac:dyDescent="0.3">
      <c r="A152" s="1">
        <v>46041</v>
      </c>
      <c r="B152">
        <v>2026</v>
      </c>
      <c r="C152">
        <v>1</v>
      </c>
      <c r="D152" t="s">
        <v>46</v>
      </c>
      <c r="E152" t="s">
        <v>47</v>
      </c>
      <c r="F152" t="s">
        <v>35</v>
      </c>
      <c r="G152" t="s">
        <v>31</v>
      </c>
      <c r="H152">
        <v>2</v>
      </c>
      <c r="I152">
        <v>1200</v>
      </c>
    </row>
    <row r="153" spans="1:9" x14ac:dyDescent="0.3">
      <c r="A153" s="1">
        <v>46260</v>
      </c>
      <c r="B153">
        <v>2026</v>
      </c>
      <c r="C153">
        <v>8</v>
      </c>
      <c r="D153" t="s">
        <v>40</v>
      </c>
      <c r="E153" t="s">
        <v>41</v>
      </c>
      <c r="F153" t="s">
        <v>35</v>
      </c>
      <c r="G153" t="s">
        <v>31</v>
      </c>
      <c r="H153">
        <v>5</v>
      </c>
      <c r="I153">
        <v>3000</v>
      </c>
    </row>
    <row r="154" spans="1:9" x14ac:dyDescent="0.3">
      <c r="A154" s="1">
        <v>46151</v>
      </c>
      <c r="B154">
        <v>2026</v>
      </c>
      <c r="C154">
        <v>5</v>
      </c>
      <c r="D154" t="s">
        <v>44</v>
      </c>
      <c r="E154" t="s">
        <v>45</v>
      </c>
      <c r="F154" t="s">
        <v>35</v>
      </c>
      <c r="G154" t="s">
        <v>31</v>
      </c>
      <c r="H154">
        <v>4</v>
      </c>
      <c r="I154">
        <v>2400</v>
      </c>
    </row>
    <row r="155" spans="1:9" x14ac:dyDescent="0.3">
      <c r="A155" s="1">
        <v>46256</v>
      </c>
      <c r="B155">
        <v>2026</v>
      </c>
      <c r="C155">
        <v>8</v>
      </c>
      <c r="D155" t="s">
        <v>49</v>
      </c>
      <c r="E155" t="s">
        <v>47</v>
      </c>
      <c r="F155" t="s">
        <v>35</v>
      </c>
      <c r="G155" t="s">
        <v>31</v>
      </c>
      <c r="H155">
        <v>4</v>
      </c>
      <c r="I155">
        <v>2400</v>
      </c>
    </row>
    <row r="156" spans="1:9" x14ac:dyDescent="0.3">
      <c r="A156" s="1">
        <v>46210</v>
      </c>
      <c r="B156">
        <v>2026</v>
      </c>
      <c r="C156">
        <v>7</v>
      </c>
      <c r="D156" t="s">
        <v>42</v>
      </c>
      <c r="E156" t="s">
        <v>43</v>
      </c>
      <c r="F156" t="s">
        <v>35</v>
      </c>
      <c r="G156" t="s">
        <v>31</v>
      </c>
      <c r="H156">
        <v>4</v>
      </c>
      <c r="I156">
        <v>2400</v>
      </c>
    </row>
    <row r="157" spans="1:9" x14ac:dyDescent="0.3">
      <c r="A157" s="1">
        <v>46125</v>
      </c>
      <c r="B157">
        <v>2026</v>
      </c>
      <c r="C157">
        <v>4</v>
      </c>
      <c r="D157" t="s">
        <v>48</v>
      </c>
      <c r="E157" t="s">
        <v>43</v>
      </c>
      <c r="F157" t="s">
        <v>35</v>
      </c>
      <c r="G157" t="s">
        <v>31</v>
      </c>
      <c r="H157">
        <v>5</v>
      </c>
      <c r="I157">
        <v>3000</v>
      </c>
    </row>
    <row r="158" spans="1:9" x14ac:dyDescent="0.3">
      <c r="A158" s="1">
        <v>46132</v>
      </c>
      <c r="B158">
        <v>2026</v>
      </c>
      <c r="C158">
        <v>4</v>
      </c>
      <c r="D158" t="s">
        <v>40</v>
      </c>
      <c r="E158" t="s">
        <v>41</v>
      </c>
      <c r="F158" t="s">
        <v>35</v>
      </c>
      <c r="G158" t="s">
        <v>31</v>
      </c>
      <c r="H158">
        <v>1</v>
      </c>
      <c r="I158">
        <v>600</v>
      </c>
    </row>
    <row r="159" spans="1:9" x14ac:dyDescent="0.3">
      <c r="A159" s="1">
        <v>46212</v>
      </c>
      <c r="B159">
        <v>2026</v>
      </c>
      <c r="C159">
        <v>7</v>
      </c>
      <c r="D159" t="s">
        <v>46</v>
      </c>
      <c r="E159" t="s">
        <v>47</v>
      </c>
      <c r="F159" t="s">
        <v>35</v>
      </c>
      <c r="G159" t="s">
        <v>31</v>
      </c>
      <c r="H159">
        <v>4</v>
      </c>
      <c r="I159">
        <v>2400</v>
      </c>
    </row>
    <row r="160" spans="1:9" x14ac:dyDescent="0.3">
      <c r="A160" s="1">
        <v>46214</v>
      </c>
      <c r="B160">
        <v>2026</v>
      </c>
      <c r="C160">
        <v>7</v>
      </c>
      <c r="D160" t="s">
        <v>48</v>
      </c>
      <c r="E160" t="s">
        <v>43</v>
      </c>
      <c r="F160" t="s">
        <v>35</v>
      </c>
      <c r="G160" t="s">
        <v>31</v>
      </c>
      <c r="H160">
        <v>4</v>
      </c>
      <c r="I160">
        <v>2400</v>
      </c>
    </row>
    <row r="161" spans="1:9" x14ac:dyDescent="0.3">
      <c r="A161" s="1">
        <v>46227</v>
      </c>
      <c r="B161">
        <v>2026</v>
      </c>
      <c r="C161">
        <v>7</v>
      </c>
      <c r="D161" t="s">
        <v>44</v>
      </c>
      <c r="E161" t="s">
        <v>45</v>
      </c>
      <c r="F161" t="s">
        <v>35</v>
      </c>
      <c r="G161" t="s">
        <v>31</v>
      </c>
      <c r="H161">
        <v>2</v>
      </c>
      <c r="I161">
        <v>1200</v>
      </c>
    </row>
    <row r="162" spans="1:9" x14ac:dyDescent="0.3">
      <c r="A162" s="1">
        <v>46201</v>
      </c>
      <c r="B162">
        <v>2026</v>
      </c>
      <c r="C162">
        <v>6</v>
      </c>
      <c r="D162" t="s">
        <v>46</v>
      </c>
      <c r="E162" t="s">
        <v>47</v>
      </c>
      <c r="F162" t="s">
        <v>35</v>
      </c>
      <c r="G162" t="s">
        <v>31</v>
      </c>
      <c r="H162">
        <v>2</v>
      </c>
      <c r="I162">
        <v>1200</v>
      </c>
    </row>
    <row r="163" spans="1:9" x14ac:dyDescent="0.3">
      <c r="A163" s="1">
        <v>46127</v>
      </c>
      <c r="B163">
        <v>2026</v>
      </c>
      <c r="C163">
        <v>4</v>
      </c>
      <c r="D163" t="s">
        <v>51</v>
      </c>
      <c r="E163" t="s">
        <v>45</v>
      </c>
      <c r="F163" t="s">
        <v>35</v>
      </c>
      <c r="G163" t="s">
        <v>31</v>
      </c>
      <c r="H163">
        <v>5</v>
      </c>
      <c r="I163">
        <v>3000</v>
      </c>
    </row>
    <row r="164" spans="1:9" x14ac:dyDescent="0.3">
      <c r="A164" s="1">
        <v>46106</v>
      </c>
      <c r="B164">
        <v>2026</v>
      </c>
      <c r="C164">
        <v>3</v>
      </c>
      <c r="D164" t="s">
        <v>42</v>
      </c>
      <c r="E164" t="s">
        <v>43</v>
      </c>
      <c r="F164" t="s">
        <v>35</v>
      </c>
      <c r="G164" t="s">
        <v>31</v>
      </c>
      <c r="H164">
        <v>5</v>
      </c>
      <c r="I164">
        <v>3000</v>
      </c>
    </row>
    <row r="165" spans="1:9" x14ac:dyDescent="0.3">
      <c r="A165" s="1">
        <v>46195</v>
      </c>
      <c r="B165">
        <v>2026</v>
      </c>
      <c r="C165">
        <v>6</v>
      </c>
      <c r="D165" t="s">
        <v>46</v>
      </c>
      <c r="E165" t="s">
        <v>47</v>
      </c>
      <c r="F165" t="s">
        <v>35</v>
      </c>
      <c r="G165" t="s">
        <v>31</v>
      </c>
      <c r="H165">
        <v>5</v>
      </c>
      <c r="I165">
        <v>3000</v>
      </c>
    </row>
    <row r="166" spans="1:9" x14ac:dyDescent="0.3">
      <c r="A166" s="1">
        <v>46144</v>
      </c>
      <c r="B166">
        <v>2026</v>
      </c>
      <c r="C166">
        <v>5</v>
      </c>
      <c r="D166" t="s">
        <v>44</v>
      </c>
      <c r="E166" t="s">
        <v>45</v>
      </c>
      <c r="F166" t="s">
        <v>35</v>
      </c>
      <c r="G166" t="s">
        <v>31</v>
      </c>
      <c r="H166">
        <v>3</v>
      </c>
      <c r="I166">
        <v>1800</v>
      </c>
    </row>
    <row r="167" spans="1:9" x14ac:dyDescent="0.3">
      <c r="A167" s="1">
        <v>46152</v>
      </c>
      <c r="B167">
        <v>2026</v>
      </c>
      <c r="C167">
        <v>5</v>
      </c>
      <c r="D167" t="s">
        <v>50</v>
      </c>
      <c r="E167" t="s">
        <v>41</v>
      </c>
      <c r="F167" t="s">
        <v>35</v>
      </c>
      <c r="G167" t="s">
        <v>31</v>
      </c>
      <c r="H167">
        <v>5</v>
      </c>
      <c r="I167">
        <v>3000</v>
      </c>
    </row>
    <row r="168" spans="1:9" x14ac:dyDescent="0.3">
      <c r="A168" s="1">
        <v>46208</v>
      </c>
      <c r="B168">
        <v>2026</v>
      </c>
      <c r="C168">
        <v>7</v>
      </c>
      <c r="D168" t="s">
        <v>40</v>
      </c>
      <c r="E168" t="s">
        <v>41</v>
      </c>
      <c r="F168" t="s">
        <v>35</v>
      </c>
      <c r="G168" t="s">
        <v>31</v>
      </c>
      <c r="H168">
        <v>3</v>
      </c>
      <c r="I168">
        <v>1800</v>
      </c>
    </row>
    <row r="169" spans="1:9" x14ac:dyDescent="0.3">
      <c r="A169" s="1">
        <v>46172</v>
      </c>
      <c r="B169">
        <v>2026</v>
      </c>
      <c r="C169">
        <v>5</v>
      </c>
      <c r="D169" t="s">
        <v>50</v>
      </c>
      <c r="E169" t="s">
        <v>41</v>
      </c>
      <c r="F169" t="s">
        <v>35</v>
      </c>
      <c r="G169" t="s">
        <v>31</v>
      </c>
      <c r="H169">
        <v>2</v>
      </c>
      <c r="I169">
        <v>1200</v>
      </c>
    </row>
    <row r="170" spans="1:9" x14ac:dyDescent="0.3">
      <c r="A170" s="1">
        <v>46258</v>
      </c>
      <c r="B170">
        <v>2026</v>
      </c>
      <c r="C170">
        <v>8</v>
      </c>
      <c r="D170" t="s">
        <v>50</v>
      </c>
      <c r="E170" t="s">
        <v>41</v>
      </c>
      <c r="F170" t="s">
        <v>35</v>
      </c>
      <c r="G170" t="s">
        <v>31</v>
      </c>
      <c r="H170">
        <v>2</v>
      </c>
      <c r="I170">
        <v>1200</v>
      </c>
    </row>
    <row r="171" spans="1:9" x14ac:dyDescent="0.3">
      <c r="A171" s="1">
        <v>46109</v>
      </c>
      <c r="B171">
        <v>2026</v>
      </c>
      <c r="C171">
        <v>3</v>
      </c>
      <c r="D171" t="s">
        <v>46</v>
      </c>
      <c r="E171" t="s">
        <v>47</v>
      </c>
      <c r="F171" t="s">
        <v>35</v>
      </c>
      <c r="G171" t="s">
        <v>31</v>
      </c>
      <c r="H171">
        <v>3</v>
      </c>
      <c r="I171">
        <v>1800</v>
      </c>
    </row>
    <row r="172" spans="1:9" x14ac:dyDescent="0.3">
      <c r="A172" s="1">
        <v>46173</v>
      </c>
      <c r="B172">
        <v>2026</v>
      </c>
      <c r="C172">
        <v>5</v>
      </c>
      <c r="D172" t="s">
        <v>42</v>
      </c>
      <c r="E172" t="s">
        <v>43</v>
      </c>
      <c r="F172" t="s">
        <v>35</v>
      </c>
      <c r="G172" t="s">
        <v>31</v>
      </c>
      <c r="H172">
        <v>4</v>
      </c>
      <c r="I172">
        <v>2400</v>
      </c>
    </row>
    <row r="173" spans="1:9" x14ac:dyDescent="0.3">
      <c r="A173" s="1">
        <v>46117</v>
      </c>
      <c r="B173">
        <v>2026</v>
      </c>
      <c r="C173">
        <v>4</v>
      </c>
      <c r="D173" t="s">
        <v>50</v>
      </c>
      <c r="E173" t="s">
        <v>41</v>
      </c>
      <c r="F173" t="s">
        <v>35</v>
      </c>
      <c r="G173" t="s">
        <v>31</v>
      </c>
      <c r="H173">
        <v>1</v>
      </c>
      <c r="I173">
        <v>600</v>
      </c>
    </row>
    <row r="174" spans="1:9" x14ac:dyDescent="0.3">
      <c r="A174" s="1">
        <v>46155</v>
      </c>
      <c r="B174">
        <v>2026</v>
      </c>
      <c r="C174">
        <v>5</v>
      </c>
      <c r="D174" t="s">
        <v>51</v>
      </c>
      <c r="E174" t="s">
        <v>45</v>
      </c>
      <c r="F174" t="s">
        <v>35</v>
      </c>
      <c r="G174" t="s">
        <v>31</v>
      </c>
      <c r="H174">
        <v>3</v>
      </c>
      <c r="I174">
        <v>1800</v>
      </c>
    </row>
    <row r="175" spans="1:9" x14ac:dyDescent="0.3">
      <c r="A175" s="1">
        <v>46249</v>
      </c>
      <c r="B175">
        <v>2026</v>
      </c>
      <c r="C175">
        <v>8</v>
      </c>
      <c r="D175" t="s">
        <v>40</v>
      </c>
      <c r="E175" t="s">
        <v>41</v>
      </c>
      <c r="F175" t="s">
        <v>35</v>
      </c>
      <c r="G175" t="s">
        <v>31</v>
      </c>
      <c r="H175">
        <v>3</v>
      </c>
      <c r="I175">
        <v>1800</v>
      </c>
    </row>
    <row r="176" spans="1:9" x14ac:dyDescent="0.3">
      <c r="A176" s="1">
        <v>46275</v>
      </c>
      <c r="B176">
        <v>2026</v>
      </c>
      <c r="C176">
        <v>9</v>
      </c>
      <c r="D176" t="s">
        <v>42</v>
      </c>
      <c r="E176" t="s">
        <v>43</v>
      </c>
      <c r="F176" t="s">
        <v>35</v>
      </c>
      <c r="G176" t="s">
        <v>31</v>
      </c>
      <c r="H176">
        <v>1</v>
      </c>
      <c r="I176">
        <v>600</v>
      </c>
    </row>
    <row r="177" spans="1:9" x14ac:dyDescent="0.3">
      <c r="A177" s="1">
        <v>46080</v>
      </c>
      <c r="B177">
        <v>2026</v>
      </c>
      <c r="C177">
        <v>2</v>
      </c>
      <c r="D177" t="s">
        <v>42</v>
      </c>
      <c r="E177" t="s">
        <v>43</v>
      </c>
      <c r="F177" t="s">
        <v>35</v>
      </c>
      <c r="G177" t="s">
        <v>31</v>
      </c>
      <c r="H177">
        <v>5</v>
      </c>
      <c r="I177">
        <v>3000</v>
      </c>
    </row>
    <row r="178" spans="1:9" x14ac:dyDescent="0.3">
      <c r="A178" s="1">
        <v>46220</v>
      </c>
      <c r="B178">
        <v>2026</v>
      </c>
      <c r="C178">
        <v>7</v>
      </c>
      <c r="D178" t="s">
        <v>50</v>
      </c>
      <c r="E178" t="s">
        <v>41</v>
      </c>
      <c r="F178" t="s">
        <v>35</v>
      </c>
      <c r="G178" t="s">
        <v>31</v>
      </c>
      <c r="H178">
        <v>1</v>
      </c>
      <c r="I178">
        <v>600</v>
      </c>
    </row>
    <row r="179" spans="1:9" x14ac:dyDescent="0.3">
      <c r="A179" s="1">
        <v>46211</v>
      </c>
      <c r="B179">
        <v>2026</v>
      </c>
      <c r="C179">
        <v>7</v>
      </c>
      <c r="D179" t="s">
        <v>46</v>
      </c>
      <c r="E179" t="s">
        <v>47</v>
      </c>
      <c r="F179" t="s">
        <v>35</v>
      </c>
      <c r="G179" t="s">
        <v>31</v>
      </c>
      <c r="H179">
        <v>4</v>
      </c>
      <c r="I179">
        <v>2400</v>
      </c>
    </row>
    <row r="180" spans="1:9" x14ac:dyDescent="0.3">
      <c r="A180" s="1">
        <v>46180</v>
      </c>
      <c r="B180">
        <v>2026</v>
      </c>
      <c r="C180">
        <v>6</v>
      </c>
      <c r="D180" t="s">
        <v>40</v>
      </c>
      <c r="E180" t="s">
        <v>41</v>
      </c>
      <c r="F180" t="s">
        <v>35</v>
      </c>
      <c r="G180" t="s">
        <v>31</v>
      </c>
      <c r="H180">
        <v>5</v>
      </c>
      <c r="I180">
        <v>3000</v>
      </c>
    </row>
    <row r="181" spans="1:9" x14ac:dyDescent="0.3">
      <c r="A181" s="1">
        <v>46170</v>
      </c>
      <c r="B181">
        <v>2026</v>
      </c>
      <c r="C181">
        <v>5</v>
      </c>
      <c r="D181" t="s">
        <v>46</v>
      </c>
      <c r="E181" t="s">
        <v>47</v>
      </c>
      <c r="F181" t="s">
        <v>35</v>
      </c>
      <c r="G181" t="s">
        <v>31</v>
      </c>
      <c r="H181">
        <v>5</v>
      </c>
      <c r="I181">
        <v>3000</v>
      </c>
    </row>
    <row r="182" spans="1:9" x14ac:dyDescent="0.3">
      <c r="A182" s="1">
        <v>46115</v>
      </c>
      <c r="B182">
        <v>2026</v>
      </c>
      <c r="C182">
        <v>4</v>
      </c>
      <c r="D182" t="s">
        <v>51</v>
      </c>
      <c r="E182" t="s">
        <v>45</v>
      </c>
      <c r="F182" t="s">
        <v>35</v>
      </c>
      <c r="G182" t="s">
        <v>31</v>
      </c>
      <c r="H182">
        <v>2</v>
      </c>
      <c r="I182">
        <v>1200</v>
      </c>
    </row>
    <row r="183" spans="1:9" x14ac:dyDescent="0.3">
      <c r="A183" s="1">
        <v>46088</v>
      </c>
      <c r="B183">
        <v>2026</v>
      </c>
      <c r="C183">
        <v>3</v>
      </c>
      <c r="D183" t="s">
        <v>42</v>
      </c>
      <c r="E183" t="s">
        <v>43</v>
      </c>
      <c r="F183" t="s">
        <v>35</v>
      </c>
      <c r="G183" t="s">
        <v>31</v>
      </c>
      <c r="H183">
        <v>1</v>
      </c>
      <c r="I183">
        <v>600</v>
      </c>
    </row>
    <row r="184" spans="1:9" x14ac:dyDescent="0.3">
      <c r="A184" s="1">
        <v>46141</v>
      </c>
      <c r="B184">
        <v>2026</v>
      </c>
      <c r="C184">
        <v>4</v>
      </c>
      <c r="D184" t="s">
        <v>42</v>
      </c>
      <c r="E184" t="s">
        <v>43</v>
      </c>
      <c r="F184" t="s">
        <v>35</v>
      </c>
      <c r="G184" t="s">
        <v>31</v>
      </c>
      <c r="H184">
        <v>4</v>
      </c>
      <c r="I184">
        <v>2400</v>
      </c>
    </row>
    <row r="185" spans="1:9" x14ac:dyDescent="0.3">
      <c r="A185" s="1">
        <v>46311</v>
      </c>
      <c r="B185">
        <v>2026</v>
      </c>
      <c r="C185">
        <v>10</v>
      </c>
      <c r="D185" t="s">
        <v>50</v>
      </c>
      <c r="E185" t="s">
        <v>41</v>
      </c>
      <c r="F185" t="s">
        <v>35</v>
      </c>
      <c r="G185" t="s">
        <v>31</v>
      </c>
      <c r="H185">
        <v>3</v>
      </c>
      <c r="I185">
        <v>1800</v>
      </c>
    </row>
    <row r="186" spans="1:9" x14ac:dyDescent="0.3">
      <c r="A186" s="1">
        <v>46047</v>
      </c>
      <c r="B186">
        <v>2026</v>
      </c>
      <c r="C186">
        <v>1</v>
      </c>
      <c r="D186" t="s">
        <v>42</v>
      </c>
      <c r="E186" t="s">
        <v>43</v>
      </c>
      <c r="F186" t="s">
        <v>35</v>
      </c>
      <c r="G186" t="s">
        <v>31</v>
      </c>
      <c r="H186">
        <v>5</v>
      </c>
      <c r="I186">
        <v>3000</v>
      </c>
    </row>
    <row r="187" spans="1:9" x14ac:dyDescent="0.3">
      <c r="A187" s="1">
        <v>46242</v>
      </c>
      <c r="B187">
        <v>2026</v>
      </c>
      <c r="C187">
        <v>8</v>
      </c>
      <c r="D187" t="s">
        <v>49</v>
      </c>
      <c r="E187" t="s">
        <v>47</v>
      </c>
      <c r="F187" t="s">
        <v>35</v>
      </c>
      <c r="G187" t="s">
        <v>31</v>
      </c>
      <c r="H187">
        <v>1</v>
      </c>
      <c r="I187">
        <v>600</v>
      </c>
    </row>
    <row r="188" spans="1:9" x14ac:dyDescent="0.3">
      <c r="A188" s="1">
        <v>46055</v>
      </c>
      <c r="B188">
        <v>2026</v>
      </c>
      <c r="C188">
        <v>2</v>
      </c>
      <c r="D188" t="s">
        <v>42</v>
      </c>
      <c r="E188" t="s">
        <v>43</v>
      </c>
      <c r="F188" t="s">
        <v>35</v>
      </c>
      <c r="G188" t="s">
        <v>31</v>
      </c>
      <c r="H188">
        <v>5</v>
      </c>
      <c r="I188">
        <v>3000</v>
      </c>
    </row>
    <row r="189" spans="1:9" x14ac:dyDescent="0.3">
      <c r="A189" s="1">
        <v>46057</v>
      </c>
      <c r="B189">
        <v>2026</v>
      </c>
      <c r="C189">
        <v>2</v>
      </c>
      <c r="D189" t="s">
        <v>46</v>
      </c>
      <c r="E189" t="s">
        <v>47</v>
      </c>
      <c r="F189" t="s">
        <v>35</v>
      </c>
      <c r="G189" t="s">
        <v>31</v>
      </c>
      <c r="H189">
        <v>1</v>
      </c>
      <c r="I189">
        <v>600</v>
      </c>
    </row>
    <row r="190" spans="1:9" x14ac:dyDescent="0.3">
      <c r="A190" s="1">
        <v>46137</v>
      </c>
      <c r="B190">
        <v>2026</v>
      </c>
      <c r="C190">
        <v>4</v>
      </c>
      <c r="D190" t="s">
        <v>40</v>
      </c>
      <c r="E190" t="s">
        <v>41</v>
      </c>
      <c r="F190" t="s">
        <v>35</v>
      </c>
      <c r="G190" t="s">
        <v>31</v>
      </c>
      <c r="H190">
        <v>5</v>
      </c>
      <c r="I190">
        <v>3000</v>
      </c>
    </row>
    <row r="191" spans="1:9" x14ac:dyDescent="0.3">
      <c r="A191" s="1">
        <v>46174</v>
      </c>
      <c r="B191">
        <v>2026</v>
      </c>
      <c r="C191">
        <v>6</v>
      </c>
      <c r="D191" t="s">
        <v>51</v>
      </c>
      <c r="E191" t="s">
        <v>45</v>
      </c>
      <c r="F191" t="s">
        <v>35</v>
      </c>
      <c r="G191" t="s">
        <v>31</v>
      </c>
      <c r="H191">
        <v>2</v>
      </c>
      <c r="I191">
        <v>1200</v>
      </c>
    </row>
    <row r="192" spans="1:9" x14ac:dyDescent="0.3">
      <c r="A192" s="1">
        <v>46216</v>
      </c>
      <c r="B192">
        <v>2026</v>
      </c>
      <c r="C192">
        <v>7</v>
      </c>
      <c r="D192" t="s">
        <v>51</v>
      </c>
      <c r="E192" t="s">
        <v>45</v>
      </c>
      <c r="F192" t="s">
        <v>35</v>
      </c>
      <c r="G192" t="s">
        <v>31</v>
      </c>
      <c r="H192">
        <v>4</v>
      </c>
      <c r="I192">
        <v>2400</v>
      </c>
    </row>
    <row r="193" spans="1:9" x14ac:dyDescent="0.3">
      <c r="A193" s="1">
        <v>46090</v>
      </c>
      <c r="B193">
        <v>2026</v>
      </c>
      <c r="C193">
        <v>3</v>
      </c>
      <c r="D193" t="s">
        <v>48</v>
      </c>
      <c r="E193" t="s">
        <v>43</v>
      </c>
      <c r="F193" t="s">
        <v>35</v>
      </c>
      <c r="G193" t="s">
        <v>31</v>
      </c>
      <c r="H193">
        <v>4</v>
      </c>
      <c r="I193">
        <v>2400</v>
      </c>
    </row>
    <row r="194" spans="1:9" x14ac:dyDescent="0.3">
      <c r="A194" s="1">
        <v>46027</v>
      </c>
      <c r="B194">
        <v>2026</v>
      </c>
      <c r="C194">
        <v>1</v>
      </c>
      <c r="D194" t="s">
        <v>42</v>
      </c>
      <c r="E194" t="s">
        <v>43</v>
      </c>
      <c r="F194" t="s">
        <v>35</v>
      </c>
      <c r="G194" t="s">
        <v>31</v>
      </c>
      <c r="H194">
        <v>3</v>
      </c>
      <c r="I194">
        <v>1800</v>
      </c>
    </row>
    <row r="195" spans="1:9" x14ac:dyDescent="0.3">
      <c r="A195" s="1">
        <v>46241</v>
      </c>
      <c r="B195">
        <v>2026</v>
      </c>
      <c r="C195">
        <v>8</v>
      </c>
      <c r="D195" t="s">
        <v>51</v>
      </c>
      <c r="E195" t="s">
        <v>45</v>
      </c>
      <c r="F195" t="s">
        <v>35</v>
      </c>
      <c r="G195" t="s">
        <v>31</v>
      </c>
      <c r="H195">
        <v>4</v>
      </c>
      <c r="I195">
        <v>2400</v>
      </c>
    </row>
    <row r="196" spans="1:9" x14ac:dyDescent="0.3">
      <c r="A196" s="1">
        <v>46308</v>
      </c>
      <c r="B196">
        <v>2026</v>
      </c>
      <c r="C196">
        <v>10</v>
      </c>
      <c r="D196" t="s">
        <v>40</v>
      </c>
      <c r="E196" t="s">
        <v>41</v>
      </c>
      <c r="F196" t="s">
        <v>35</v>
      </c>
      <c r="G196" t="s">
        <v>31</v>
      </c>
      <c r="H196">
        <v>3</v>
      </c>
      <c r="I196">
        <v>1800</v>
      </c>
    </row>
    <row r="197" spans="1:9" x14ac:dyDescent="0.3">
      <c r="A197" s="1">
        <v>46269</v>
      </c>
      <c r="B197">
        <v>2026</v>
      </c>
      <c r="C197">
        <v>9</v>
      </c>
      <c r="D197" t="s">
        <v>48</v>
      </c>
      <c r="E197" t="s">
        <v>43</v>
      </c>
      <c r="F197" t="s">
        <v>35</v>
      </c>
      <c r="G197" t="s">
        <v>31</v>
      </c>
      <c r="H197">
        <v>1</v>
      </c>
      <c r="I197">
        <v>600</v>
      </c>
    </row>
    <row r="198" spans="1:9" x14ac:dyDescent="0.3">
      <c r="A198" s="1">
        <v>46138</v>
      </c>
      <c r="B198">
        <v>2026</v>
      </c>
      <c r="C198">
        <v>4</v>
      </c>
      <c r="D198" t="s">
        <v>49</v>
      </c>
      <c r="E198" t="s">
        <v>47</v>
      </c>
      <c r="F198" t="s">
        <v>35</v>
      </c>
      <c r="G198" t="s">
        <v>31</v>
      </c>
      <c r="H198">
        <v>2</v>
      </c>
      <c r="I198">
        <v>1200</v>
      </c>
    </row>
    <row r="199" spans="1:9" x14ac:dyDescent="0.3">
      <c r="A199" s="1">
        <v>46065</v>
      </c>
      <c r="B199">
        <v>2026</v>
      </c>
      <c r="C199">
        <v>2</v>
      </c>
      <c r="D199" t="s">
        <v>42</v>
      </c>
      <c r="E199" t="s">
        <v>43</v>
      </c>
      <c r="F199" t="s">
        <v>35</v>
      </c>
      <c r="G199" t="s">
        <v>31</v>
      </c>
      <c r="H199">
        <v>3</v>
      </c>
      <c r="I199">
        <v>1800</v>
      </c>
    </row>
    <row r="200" spans="1:9" x14ac:dyDescent="0.3">
      <c r="A200" s="1">
        <v>46288</v>
      </c>
      <c r="B200">
        <v>2026</v>
      </c>
      <c r="C200">
        <v>9</v>
      </c>
      <c r="D200" t="s">
        <v>44</v>
      </c>
      <c r="E200" t="s">
        <v>45</v>
      </c>
      <c r="F200" t="s">
        <v>35</v>
      </c>
      <c r="G200" t="s">
        <v>31</v>
      </c>
      <c r="H200">
        <v>5</v>
      </c>
      <c r="I200">
        <v>3000</v>
      </c>
    </row>
    <row r="201" spans="1:9" x14ac:dyDescent="0.3">
      <c r="A201" s="1">
        <v>46027</v>
      </c>
      <c r="B201">
        <v>2026</v>
      </c>
      <c r="C201">
        <v>1</v>
      </c>
      <c r="D201" t="s">
        <v>40</v>
      </c>
      <c r="E201" t="s">
        <v>41</v>
      </c>
      <c r="F201" t="s">
        <v>35</v>
      </c>
      <c r="G201" t="s">
        <v>31</v>
      </c>
      <c r="H201">
        <v>3</v>
      </c>
      <c r="I201">
        <v>1800</v>
      </c>
    </row>
    <row r="202" spans="1:9" x14ac:dyDescent="0.3">
      <c r="A202" s="1">
        <v>46179</v>
      </c>
      <c r="B202">
        <v>2026</v>
      </c>
      <c r="C202">
        <v>6</v>
      </c>
      <c r="D202" t="s">
        <v>51</v>
      </c>
      <c r="E202" t="s">
        <v>45</v>
      </c>
      <c r="F202" t="s">
        <v>35</v>
      </c>
      <c r="G202" t="s">
        <v>31</v>
      </c>
      <c r="H202">
        <v>5</v>
      </c>
      <c r="I202">
        <v>3000</v>
      </c>
    </row>
    <row r="203" spans="1:9" x14ac:dyDescent="0.3">
      <c r="A203" s="1">
        <v>46197</v>
      </c>
      <c r="B203">
        <v>2026</v>
      </c>
      <c r="C203">
        <v>6</v>
      </c>
      <c r="D203" t="s">
        <v>49</v>
      </c>
      <c r="E203" t="s">
        <v>47</v>
      </c>
      <c r="F203" t="s">
        <v>35</v>
      </c>
      <c r="G203" t="s">
        <v>31</v>
      </c>
      <c r="H203">
        <v>3</v>
      </c>
      <c r="I203">
        <v>1800</v>
      </c>
    </row>
    <row r="204" spans="1:9" x14ac:dyDescent="0.3">
      <c r="A204" s="1">
        <v>46236</v>
      </c>
      <c r="B204">
        <v>2026</v>
      </c>
      <c r="C204">
        <v>8</v>
      </c>
      <c r="D204" t="s">
        <v>48</v>
      </c>
      <c r="E204" t="s">
        <v>43</v>
      </c>
      <c r="F204" t="s">
        <v>35</v>
      </c>
      <c r="G204" t="s">
        <v>31</v>
      </c>
      <c r="H204">
        <v>5</v>
      </c>
      <c r="I204">
        <v>3000</v>
      </c>
    </row>
    <row r="205" spans="1:9" x14ac:dyDescent="0.3">
      <c r="A205" s="1">
        <v>46322</v>
      </c>
      <c r="B205">
        <v>2026</v>
      </c>
      <c r="C205">
        <v>10</v>
      </c>
      <c r="D205" t="s">
        <v>44</v>
      </c>
      <c r="E205" t="s">
        <v>45</v>
      </c>
      <c r="F205" t="s">
        <v>35</v>
      </c>
      <c r="G205" t="s">
        <v>31</v>
      </c>
      <c r="H205">
        <v>1</v>
      </c>
      <c r="I205">
        <v>600</v>
      </c>
    </row>
    <row r="206" spans="1:9" x14ac:dyDescent="0.3">
      <c r="A206" s="1">
        <v>46068</v>
      </c>
      <c r="B206">
        <v>2026</v>
      </c>
      <c r="C206">
        <v>2</v>
      </c>
      <c r="D206" t="s">
        <v>44</v>
      </c>
      <c r="E206" t="s">
        <v>45</v>
      </c>
      <c r="F206" t="s">
        <v>35</v>
      </c>
      <c r="G206" t="s">
        <v>31</v>
      </c>
      <c r="H206">
        <v>4</v>
      </c>
      <c r="I206">
        <v>2400</v>
      </c>
    </row>
    <row r="207" spans="1:9" x14ac:dyDescent="0.3">
      <c r="A207" s="1">
        <v>46151</v>
      </c>
      <c r="B207">
        <v>2026</v>
      </c>
      <c r="C207">
        <v>5</v>
      </c>
      <c r="D207" t="s">
        <v>40</v>
      </c>
      <c r="E207" t="s">
        <v>41</v>
      </c>
      <c r="F207" t="s">
        <v>35</v>
      </c>
      <c r="G207" t="s">
        <v>31</v>
      </c>
      <c r="H207">
        <v>3</v>
      </c>
      <c r="I207">
        <v>1800</v>
      </c>
    </row>
    <row r="208" spans="1:9" x14ac:dyDescent="0.3">
      <c r="A208" s="1">
        <v>46087</v>
      </c>
      <c r="B208">
        <v>2026</v>
      </c>
      <c r="C208">
        <v>3</v>
      </c>
      <c r="D208" t="s">
        <v>44</v>
      </c>
      <c r="E208" t="s">
        <v>45</v>
      </c>
      <c r="F208" t="s">
        <v>35</v>
      </c>
      <c r="G208" t="s">
        <v>31</v>
      </c>
      <c r="H208">
        <v>1</v>
      </c>
      <c r="I208">
        <v>600</v>
      </c>
    </row>
    <row r="209" spans="1:9" x14ac:dyDescent="0.3">
      <c r="A209" s="1">
        <v>46069</v>
      </c>
      <c r="B209">
        <v>2026</v>
      </c>
      <c r="C209">
        <v>2</v>
      </c>
      <c r="D209" t="s">
        <v>49</v>
      </c>
      <c r="E209" t="s">
        <v>47</v>
      </c>
      <c r="F209" t="s">
        <v>35</v>
      </c>
      <c r="G209" t="s">
        <v>31</v>
      </c>
      <c r="H209">
        <v>4</v>
      </c>
      <c r="I209">
        <v>2400</v>
      </c>
    </row>
    <row r="210" spans="1:9" x14ac:dyDescent="0.3">
      <c r="A210" s="1">
        <v>46195</v>
      </c>
      <c r="B210">
        <v>2026</v>
      </c>
      <c r="C210">
        <v>6</v>
      </c>
      <c r="D210" t="s">
        <v>51</v>
      </c>
      <c r="E210" t="s">
        <v>45</v>
      </c>
      <c r="F210" t="s">
        <v>35</v>
      </c>
      <c r="G210" t="s">
        <v>31</v>
      </c>
      <c r="H210">
        <v>1</v>
      </c>
      <c r="I210">
        <v>600</v>
      </c>
    </row>
    <row r="211" spans="1:9" x14ac:dyDescent="0.3">
      <c r="A211" s="1">
        <v>46280</v>
      </c>
      <c r="B211">
        <v>2026</v>
      </c>
      <c r="C211">
        <v>9</v>
      </c>
      <c r="D211" t="s">
        <v>40</v>
      </c>
      <c r="E211" t="s">
        <v>41</v>
      </c>
      <c r="F211" t="s">
        <v>35</v>
      </c>
      <c r="G211" t="s">
        <v>31</v>
      </c>
      <c r="H211">
        <v>2</v>
      </c>
      <c r="I211">
        <v>1200</v>
      </c>
    </row>
    <row r="212" spans="1:9" x14ac:dyDescent="0.3">
      <c r="A212" s="1">
        <v>46214</v>
      </c>
      <c r="B212">
        <v>2026</v>
      </c>
      <c r="C212">
        <v>7</v>
      </c>
      <c r="D212" t="s">
        <v>44</v>
      </c>
      <c r="E212" t="s">
        <v>45</v>
      </c>
      <c r="F212" t="s">
        <v>35</v>
      </c>
      <c r="G212" t="s">
        <v>31</v>
      </c>
      <c r="H212">
        <v>5</v>
      </c>
      <c r="I212">
        <v>3000</v>
      </c>
    </row>
    <row r="213" spans="1:9" x14ac:dyDescent="0.3">
      <c r="A213" s="1">
        <v>46199</v>
      </c>
      <c r="B213">
        <v>2026</v>
      </c>
      <c r="C213">
        <v>6</v>
      </c>
      <c r="D213" t="s">
        <v>49</v>
      </c>
      <c r="E213" t="s">
        <v>47</v>
      </c>
      <c r="F213" t="s">
        <v>35</v>
      </c>
      <c r="G213" t="s">
        <v>31</v>
      </c>
      <c r="H213">
        <v>5</v>
      </c>
      <c r="I213">
        <v>3000</v>
      </c>
    </row>
    <row r="214" spans="1:9" x14ac:dyDescent="0.3">
      <c r="A214" s="1">
        <v>46216</v>
      </c>
      <c r="B214">
        <v>2026</v>
      </c>
      <c r="C214">
        <v>7</v>
      </c>
      <c r="D214" t="s">
        <v>51</v>
      </c>
      <c r="E214" t="s">
        <v>45</v>
      </c>
      <c r="F214" t="s">
        <v>35</v>
      </c>
      <c r="G214" t="s">
        <v>31</v>
      </c>
      <c r="H214">
        <v>2</v>
      </c>
      <c r="I214">
        <v>1200</v>
      </c>
    </row>
    <row r="215" spans="1:9" x14ac:dyDescent="0.3">
      <c r="A215" s="1">
        <v>46096</v>
      </c>
      <c r="B215">
        <v>2026</v>
      </c>
      <c r="C215">
        <v>3</v>
      </c>
      <c r="D215" t="s">
        <v>51</v>
      </c>
      <c r="E215" t="s">
        <v>45</v>
      </c>
      <c r="F215" t="s">
        <v>35</v>
      </c>
      <c r="G215" t="s">
        <v>31</v>
      </c>
      <c r="H215">
        <v>1</v>
      </c>
      <c r="I215">
        <v>600</v>
      </c>
    </row>
    <row r="216" spans="1:9" x14ac:dyDescent="0.3">
      <c r="A216" s="1">
        <v>46093</v>
      </c>
      <c r="B216">
        <v>2026</v>
      </c>
      <c r="C216">
        <v>3</v>
      </c>
      <c r="D216" t="s">
        <v>40</v>
      </c>
      <c r="E216" t="s">
        <v>41</v>
      </c>
      <c r="F216" t="s">
        <v>35</v>
      </c>
      <c r="G216" t="s">
        <v>31</v>
      </c>
      <c r="H216">
        <v>2</v>
      </c>
      <c r="I216">
        <v>1200</v>
      </c>
    </row>
    <row r="217" spans="1:9" x14ac:dyDescent="0.3">
      <c r="A217" s="1">
        <v>46199</v>
      </c>
      <c r="B217">
        <v>2026</v>
      </c>
      <c r="C217">
        <v>6</v>
      </c>
      <c r="D217" t="s">
        <v>51</v>
      </c>
      <c r="E217" t="s">
        <v>45</v>
      </c>
      <c r="F217" t="s">
        <v>35</v>
      </c>
      <c r="G217" t="s">
        <v>31</v>
      </c>
      <c r="H217">
        <v>2</v>
      </c>
      <c r="I217">
        <v>1200</v>
      </c>
    </row>
    <row r="218" spans="1:9" x14ac:dyDescent="0.3">
      <c r="A218" s="1">
        <v>46305</v>
      </c>
      <c r="B218">
        <v>2026</v>
      </c>
      <c r="C218">
        <v>10</v>
      </c>
      <c r="D218" t="s">
        <v>50</v>
      </c>
      <c r="E218" t="s">
        <v>41</v>
      </c>
      <c r="F218" t="s">
        <v>35</v>
      </c>
      <c r="G218" t="s">
        <v>31</v>
      </c>
      <c r="H218">
        <v>2</v>
      </c>
      <c r="I218">
        <v>1200</v>
      </c>
    </row>
    <row r="219" spans="1:9" x14ac:dyDescent="0.3">
      <c r="A219" s="1">
        <v>46073</v>
      </c>
      <c r="B219">
        <v>2026</v>
      </c>
      <c r="C219">
        <v>2</v>
      </c>
      <c r="D219" t="s">
        <v>42</v>
      </c>
      <c r="E219" t="s">
        <v>43</v>
      </c>
      <c r="F219" t="s">
        <v>35</v>
      </c>
      <c r="G219" t="s">
        <v>31</v>
      </c>
      <c r="H219">
        <v>2</v>
      </c>
      <c r="I219">
        <v>1200</v>
      </c>
    </row>
    <row r="220" spans="1:9" x14ac:dyDescent="0.3">
      <c r="A220" s="1">
        <v>46063</v>
      </c>
      <c r="B220">
        <v>2026</v>
      </c>
      <c r="C220">
        <v>2</v>
      </c>
      <c r="D220" t="s">
        <v>51</v>
      </c>
      <c r="E220" t="s">
        <v>45</v>
      </c>
      <c r="F220" t="s">
        <v>35</v>
      </c>
      <c r="G220" t="s">
        <v>31</v>
      </c>
      <c r="H220">
        <v>1</v>
      </c>
      <c r="I220">
        <v>600</v>
      </c>
    </row>
    <row r="221" spans="1:9" x14ac:dyDescent="0.3">
      <c r="A221" s="1">
        <v>46140</v>
      </c>
      <c r="B221">
        <v>2026</v>
      </c>
      <c r="C221">
        <v>4</v>
      </c>
      <c r="D221" t="s">
        <v>40</v>
      </c>
      <c r="E221" t="s">
        <v>41</v>
      </c>
      <c r="F221" t="s">
        <v>35</v>
      </c>
      <c r="G221" t="s">
        <v>31</v>
      </c>
      <c r="H221">
        <v>5</v>
      </c>
      <c r="I221">
        <v>3000</v>
      </c>
    </row>
    <row r="222" spans="1:9" x14ac:dyDescent="0.3">
      <c r="A222" s="1">
        <v>46234</v>
      </c>
      <c r="B222">
        <v>2026</v>
      </c>
      <c r="C222">
        <v>7</v>
      </c>
      <c r="D222" t="s">
        <v>42</v>
      </c>
      <c r="E222" t="s">
        <v>43</v>
      </c>
      <c r="F222" t="s">
        <v>35</v>
      </c>
      <c r="G222" t="s">
        <v>31</v>
      </c>
      <c r="H222">
        <v>5</v>
      </c>
      <c r="I222">
        <v>3000</v>
      </c>
    </row>
    <row r="223" spans="1:9" x14ac:dyDescent="0.3">
      <c r="A223" s="1">
        <v>46048</v>
      </c>
      <c r="B223">
        <v>2026</v>
      </c>
      <c r="C223">
        <v>1</v>
      </c>
      <c r="D223" t="s">
        <v>46</v>
      </c>
      <c r="E223" t="s">
        <v>47</v>
      </c>
      <c r="F223" t="s">
        <v>35</v>
      </c>
      <c r="G223" t="s">
        <v>31</v>
      </c>
      <c r="H223">
        <v>4</v>
      </c>
      <c r="I223">
        <v>2400</v>
      </c>
    </row>
    <row r="224" spans="1:9" x14ac:dyDescent="0.3">
      <c r="A224" s="1">
        <v>46284</v>
      </c>
      <c r="B224">
        <v>2026</v>
      </c>
      <c r="C224">
        <v>9</v>
      </c>
      <c r="D224" t="s">
        <v>51</v>
      </c>
      <c r="E224" t="s">
        <v>45</v>
      </c>
      <c r="F224" t="s">
        <v>35</v>
      </c>
      <c r="G224" t="s">
        <v>31</v>
      </c>
      <c r="H224">
        <v>5</v>
      </c>
      <c r="I224">
        <v>3000</v>
      </c>
    </row>
    <row r="225" spans="1:9" x14ac:dyDescent="0.3">
      <c r="A225" s="1">
        <v>46173</v>
      </c>
      <c r="B225">
        <v>2026</v>
      </c>
      <c r="C225">
        <v>5</v>
      </c>
      <c r="D225" t="s">
        <v>50</v>
      </c>
      <c r="E225" t="s">
        <v>41</v>
      </c>
      <c r="F225" t="s">
        <v>35</v>
      </c>
      <c r="G225" t="s">
        <v>31</v>
      </c>
      <c r="H225">
        <v>5</v>
      </c>
      <c r="I225">
        <v>3000</v>
      </c>
    </row>
    <row r="226" spans="1:9" x14ac:dyDescent="0.3">
      <c r="A226" s="1">
        <v>46198</v>
      </c>
      <c r="B226">
        <v>2026</v>
      </c>
      <c r="C226">
        <v>6</v>
      </c>
      <c r="D226" t="s">
        <v>46</v>
      </c>
      <c r="E226" t="s">
        <v>47</v>
      </c>
      <c r="F226" t="s">
        <v>35</v>
      </c>
      <c r="G226" t="s">
        <v>31</v>
      </c>
      <c r="H226">
        <v>3</v>
      </c>
      <c r="I226">
        <v>1800</v>
      </c>
    </row>
    <row r="227" spans="1:9" x14ac:dyDescent="0.3">
      <c r="A227" s="1">
        <v>46109</v>
      </c>
      <c r="B227">
        <v>2026</v>
      </c>
      <c r="C227">
        <v>3</v>
      </c>
      <c r="D227" t="s">
        <v>46</v>
      </c>
      <c r="E227" t="s">
        <v>47</v>
      </c>
      <c r="F227" t="s">
        <v>35</v>
      </c>
      <c r="G227" t="s">
        <v>31</v>
      </c>
      <c r="H227">
        <v>1</v>
      </c>
      <c r="I227">
        <v>600</v>
      </c>
    </row>
    <row r="228" spans="1:9" x14ac:dyDescent="0.3">
      <c r="A228" s="1">
        <v>46317</v>
      </c>
      <c r="B228">
        <v>2026</v>
      </c>
      <c r="C228">
        <v>10</v>
      </c>
      <c r="D228" t="s">
        <v>50</v>
      </c>
      <c r="E228" t="s">
        <v>41</v>
      </c>
      <c r="F228" t="s">
        <v>35</v>
      </c>
      <c r="G228" t="s">
        <v>31</v>
      </c>
      <c r="H228">
        <v>3</v>
      </c>
      <c r="I228">
        <v>1800</v>
      </c>
    </row>
    <row r="229" spans="1:9" x14ac:dyDescent="0.3">
      <c r="A229" s="1">
        <v>46026</v>
      </c>
      <c r="B229">
        <v>2026</v>
      </c>
      <c r="C229">
        <v>1</v>
      </c>
      <c r="D229" t="s">
        <v>42</v>
      </c>
      <c r="E229" t="s">
        <v>43</v>
      </c>
      <c r="F229" t="s">
        <v>35</v>
      </c>
      <c r="G229" t="s">
        <v>31</v>
      </c>
      <c r="H229">
        <v>2</v>
      </c>
      <c r="I229">
        <v>1200</v>
      </c>
    </row>
    <row r="230" spans="1:9" x14ac:dyDescent="0.3">
      <c r="A230" s="1">
        <v>46066</v>
      </c>
      <c r="B230">
        <v>2026</v>
      </c>
      <c r="C230">
        <v>2</v>
      </c>
      <c r="D230" t="s">
        <v>50</v>
      </c>
      <c r="E230" t="s">
        <v>41</v>
      </c>
      <c r="F230" t="s">
        <v>35</v>
      </c>
      <c r="G230" t="s">
        <v>31</v>
      </c>
      <c r="H230">
        <v>3</v>
      </c>
      <c r="I230">
        <v>1800</v>
      </c>
    </row>
    <row r="231" spans="1:9" x14ac:dyDescent="0.3">
      <c r="A231" s="1">
        <v>46252</v>
      </c>
      <c r="B231">
        <v>2026</v>
      </c>
      <c r="C231">
        <v>8</v>
      </c>
      <c r="D231" t="s">
        <v>40</v>
      </c>
      <c r="E231" t="s">
        <v>41</v>
      </c>
      <c r="F231" t="s">
        <v>35</v>
      </c>
      <c r="G231" t="s">
        <v>31</v>
      </c>
      <c r="H231">
        <v>2</v>
      </c>
      <c r="I231">
        <v>1200</v>
      </c>
    </row>
    <row r="232" spans="1:9" x14ac:dyDescent="0.3">
      <c r="A232" s="1">
        <v>46321</v>
      </c>
      <c r="B232">
        <v>2026</v>
      </c>
      <c r="C232">
        <v>10</v>
      </c>
      <c r="D232" t="s">
        <v>50</v>
      </c>
      <c r="E232" t="s">
        <v>41</v>
      </c>
      <c r="F232" t="s">
        <v>35</v>
      </c>
      <c r="G232" t="s">
        <v>31</v>
      </c>
      <c r="H232">
        <v>4</v>
      </c>
      <c r="I232">
        <v>2400</v>
      </c>
    </row>
    <row r="233" spans="1:9" x14ac:dyDescent="0.3">
      <c r="A233" s="1">
        <v>46204</v>
      </c>
      <c r="B233">
        <v>2026</v>
      </c>
      <c r="C233">
        <v>7</v>
      </c>
      <c r="D233" t="s">
        <v>42</v>
      </c>
      <c r="E233" t="s">
        <v>43</v>
      </c>
      <c r="F233" t="s">
        <v>35</v>
      </c>
      <c r="G233" t="s">
        <v>31</v>
      </c>
      <c r="H233">
        <v>1</v>
      </c>
      <c r="I233">
        <v>600</v>
      </c>
    </row>
    <row r="234" spans="1:9" x14ac:dyDescent="0.3">
      <c r="A234" s="1">
        <v>46291</v>
      </c>
      <c r="B234">
        <v>2026</v>
      </c>
      <c r="C234">
        <v>9</v>
      </c>
      <c r="D234" t="s">
        <v>46</v>
      </c>
      <c r="E234" t="s">
        <v>47</v>
      </c>
      <c r="F234" t="s">
        <v>35</v>
      </c>
      <c r="G234" t="s">
        <v>31</v>
      </c>
      <c r="H234">
        <v>2</v>
      </c>
      <c r="I234">
        <v>1200</v>
      </c>
    </row>
    <row r="235" spans="1:9" x14ac:dyDescent="0.3">
      <c r="A235" s="1">
        <v>46183</v>
      </c>
      <c r="B235">
        <v>2026</v>
      </c>
      <c r="C235">
        <v>6</v>
      </c>
      <c r="D235" t="s">
        <v>44</v>
      </c>
      <c r="E235" t="s">
        <v>45</v>
      </c>
      <c r="F235" t="s">
        <v>35</v>
      </c>
      <c r="G235" t="s">
        <v>31</v>
      </c>
      <c r="H235">
        <v>1</v>
      </c>
      <c r="I235">
        <v>600</v>
      </c>
    </row>
    <row r="236" spans="1:9" x14ac:dyDescent="0.3">
      <c r="A236" s="1">
        <v>46129</v>
      </c>
      <c r="B236">
        <v>2026</v>
      </c>
      <c r="C236">
        <v>4</v>
      </c>
      <c r="D236" t="s">
        <v>49</v>
      </c>
      <c r="E236" t="s">
        <v>47</v>
      </c>
      <c r="F236" t="s">
        <v>35</v>
      </c>
      <c r="G236" t="s">
        <v>31</v>
      </c>
      <c r="H236">
        <v>3</v>
      </c>
      <c r="I236">
        <v>1800</v>
      </c>
    </row>
    <row r="237" spans="1:9" x14ac:dyDescent="0.3">
      <c r="A237" s="1">
        <v>46051</v>
      </c>
      <c r="B237">
        <v>2026</v>
      </c>
      <c r="C237">
        <v>1</v>
      </c>
      <c r="D237" t="s">
        <v>51</v>
      </c>
      <c r="E237" t="s">
        <v>45</v>
      </c>
      <c r="F237" t="s">
        <v>35</v>
      </c>
      <c r="G237" t="s">
        <v>31</v>
      </c>
      <c r="H237">
        <v>4</v>
      </c>
      <c r="I237">
        <v>2400</v>
      </c>
    </row>
    <row r="238" spans="1:9" x14ac:dyDescent="0.3">
      <c r="A238" s="1">
        <v>46140</v>
      </c>
      <c r="B238">
        <v>2026</v>
      </c>
      <c r="C238">
        <v>4</v>
      </c>
      <c r="D238" t="s">
        <v>50</v>
      </c>
      <c r="E238" t="s">
        <v>41</v>
      </c>
      <c r="F238" t="s">
        <v>35</v>
      </c>
      <c r="G238" t="s">
        <v>31</v>
      </c>
      <c r="H238">
        <v>5</v>
      </c>
      <c r="I238">
        <v>3000</v>
      </c>
    </row>
    <row r="239" spans="1:9" x14ac:dyDescent="0.3">
      <c r="A239" s="1">
        <v>46176</v>
      </c>
      <c r="B239">
        <v>2026</v>
      </c>
      <c r="C239">
        <v>6</v>
      </c>
      <c r="D239" t="s">
        <v>46</v>
      </c>
      <c r="E239" t="s">
        <v>47</v>
      </c>
      <c r="F239" t="s">
        <v>35</v>
      </c>
      <c r="G239" t="s">
        <v>31</v>
      </c>
      <c r="H239">
        <v>4</v>
      </c>
      <c r="I239">
        <v>2400</v>
      </c>
    </row>
    <row r="240" spans="1:9" x14ac:dyDescent="0.3">
      <c r="A240" s="1">
        <v>46120</v>
      </c>
      <c r="B240">
        <v>2026</v>
      </c>
      <c r="C240">
        <v>4</v>
      </c>
      <c r="D240" t="s">
        <v>50</v>
      </c>
      <c r="E240" t="s">
        <v>41</v>
      </c>
      <c r="F240" t="s">
        <v>35</v>
      </c>
      <c r="G240" t="s">
        <v>31</v>
      </c>
      <c r="H240">
        <v>5</v>
      </c>
      <c r="I240">
        <v>3000</v>
      </c>
    </row>
    <row r="241" spans="1:9" x14ac:dyDescent="0.3">
      <c r="A241" s="1">
        <v>46181</v>
      </c>
      <c r="B241">
        <v>2026</v>
      </c>
      <c r="C241">
        <v>6</v>
      </c>
      <c r="D241" t="s">
        <v>48</v>
      </c>
      <c r="E241" t="s">
        <v>43</v>
      </c>
      <c r="F241" t="s">
        <v>35</v>
      </c>
      <c r="G241" t="s">
        <v>31</v>
      </c>
      <c r="H241">
        <v>2</v>
      </c>
      <c r="I241">
        <v>1200</v>
      </c>
    </row>
    <row r="242" spans="1:9" x14ac:dyDescent="0.3">
      <c r="A242" s="1">
        <v>46201</v>
      </c>
      <c r="B242">
        <v>2026</v>
      </c>
      <c r="C242">
        <v>6</v>
      </c>
      <c r="D242" t="s">
        <v>44</v>
      </c>
      <c r="E242" t="s">
        <v>45</v>
      </c>
      <c r="F242" t="s">
        <v>35</v>
      </c>
      <c r="G242" t="s">
        <v>31</v>
      </c>
      <c r="H242">
        <v>2</v>
      </c>
      <c r="I242">
        <v>1200</v>
      </c>
    </row>
    <row r="243" spans="1:9" x14ac:dyDescent="0.3">
      <c r="A243" s="1">
        <v>46151</v>
      </c>
      <c r="B243">
        <v>2026</v>
      </c>
      <c r="C243">
        <v>5</v>
      </c>
      <c r="D243" t="s">
        <v>48</v>
      </c>
      <c r="E243" t="s">
        <v>43</v>
      </c>
      <c r="F243" t="s">
        <v>35</v>
      </c>
      <c r="G243" t="s">
        <v>31</v>
      </c>
      <c r="H243">
        <v>5</v>
      </c>
      <c r="I243">
        <v>3000</v>
      </c>
    </row>
    <row r="244" spans="1:9" x14ac:dyDescent="0.3">
      <c r="A244" s="1">
        <v>46238</v>
      </c>
      <c r="B244">
        <v>2026</v>
      </c>
      <c r="C244">
        <v>8</v>
      </c>
      <c r="D244" t="s">
        <v>46</v>
      </c>
      <c r="E244" t="s">
        <v>47</v>
      </c>
      <c r="F244" t="s">
        <v>35</v>
      </c>
      <c r="G244" t="s">
        <v>31</v>
      </c>
      <c r="H244">
        <v>5</v>
      </c>
      <c r="I244">
        <v>3000</v>
      </c>
    </row>
    <row r="245" spans="1:9" x14ac:dyDescent="0.3">
      <c r="A245" s="1">
        <v>46292</v>
      </c>
      <c r="B245">
        <v>2026</v>
      </c>
      <c r="C245">
        <v>9</v>
      </c>
      <c r="D245" t="s">
        <v>50</v>
      </c>
      <c r="E245" t="s">
        <v>41</v>
      </c>
      <c r="F245" t="s">
        <v>35</v>
      </c>
      <c r="G245" t="s">
        <v>31</v>
      </c>
      <c r="H245">
        <v>4</v>
      </c>
      <c r="I245">
        <v>2400</v>
      </c>
    </row>
    <row r="246" spans="1:9" x14ac:dyDescent="0.3">
      <c r="A246" s="1">
        <v>46234</v>
      </c>
      <c r="B246">
        <v>2026</v>
      </c>
      <c r="C246">
        <v>7</v>
      </c>
      <c r="D246" t="s">
        <v>46</v>
      </c>
      <c r="E246" t="s">
        <v>47</v>
      </c>
      <c r="F246" t="s">
        <v>35</v>
      </c>
      <c r="G246" t="s">
        <v>31</v>
      </c>
      <c r="H246">
        <v>4</v>
      </c>
      <c r="I246">
        <v>2400</v>
      </c>
    </row>
    <row r="247" spans="1:9" x14ac:dyDescent="0.3">
      <c r="A247" s="1">
        <v>46312</v>
      </c>
      <c r="B247">
        <v>2026</v>
      </c>
      <c r="C247">
        <v>10</v>
      </c>
      <c r="D247" t="s">
        <v>40</v>
      </c>
      <c r="E247" t="s">
        <v>41</v>
      </c>
      <c r="F247" t="s">
        <v>35</v>
      </c>
      <c r="G247" t="s">
        <v>31</v>
      </c>
      <c r="H247">
        <v>5</v>
      </c>
      <c r="I247">
        <v>3000</v>
      </c>
    </row>
    <row r="248" spans="1:9" x14ac:dyDescent="0.3">
      <c r="A248" s="1">
        <v>46110</v>
      </c>
      <c r="B248">
        <v>2026</v>
      </c>
      <c r="C248">
        <v>3</v>
      </c>
      <c r="D248" t="s">
        <v>46</v>
      </c>
      <c r="E248" t="s">
        <v>47</v>
      </c>
      <c r="F248" t="s">
        <v>35</v>
      </c>
      <c r="G248" t="s">
        <v>31</v>
      </c>
      <c r="H248">
        <v>1</v>
      </c>
      <c r="I248">
        <v>600</v>
      </c>
    </row>
    <row r="249" spans="1:9" x14ac:dyDescent="0.3">
      <c r="A249" s="1">
        <v>46037</v>
      </c>
      <c r="B249">
        <v>2026</v>
      </c>
      <c r="C249">
        <v>1</v>
      </c>
      <c r="D249" t="s">
        <v>50</v>
      </c>
      <c r="E249" t="s">
        <v>41</v>
      </c>
      <c r="F249" t="s">
        <v>35</v>
      </c>
      <c r="G249" t="s">
        <v>31</v>
      </c>
      <c r="H249">
        <v>1</v>
      </c>
      <c r="I249">
        <v>600</v>
      </c>
    </row>
    <row r="250" spans="1:9" x14ac:dyDescent="0.3">
      <c r="A250" s="1">
        <v>46243</v>
      </c>
      <c r="B250">
        <v>2026</v>
      </c>
      <c r="C250">
        <v>8</v>
      </c>
      <c r="D250" t="s">
        <v>40</v>
      </c>
      <c r="E250" t="s">
        <v>41</v>
      </c>
      <c r="F250" t="s">
        <v>35</v>
      </c>
      <c r="G250" t="s">
        <v>31</v>
      </c>
      <c r="H250">
        <v>1</v>
      </c>
      <c r="I250">
        <v>600</v>
      </c>
    </row>
    <row r="251" spans="1:9" x14ac:dyDescent="0.3">
      <c r="A251" s="1">
        <v>46219</v>
      </c>
      <c r="B251">
        <v>2026</v>
      </c>
      <c r="C251">
        <v>7</v>
      </c>
      <c r="D251" t="s">
        <v>49</v>
      </c>
      <c r="E251" t="s">
        <v>47</v>
      </c>
      <c r="F251" t="s">
        <v>35</v>
      </c>
      <c r="G251" t="s">
        <v>31</v>
      </c>
      <c r="H251">
        <v>4</v>
      </c>
      <c r="I251">
        <v>2400</v>
      </c>
    </row>
    <row r="252" spans="1:9" x14ac:dyDescent="0.3">
      <c r="A252" s="1">
        <v>46093</v>
      </c>
      <c r="B252">
        <v>2026</v>
      </c>
      <c r="C252">
        <v>3</v>
      </c>
      <c r="D252" t="s">
        <v>51</v>
      </c>
      <c r="E252" t="s">
        <v>45</v>
      </c>
      <c r="F252" t="s">
        <v>35</v>
      </c>
      <c r="G252" t="s">
        <v>31</v>
      </c>
      <c r="H252">
        <v>2</v>
      </c>
      <c r="I252">
        <v>1200</v>
      </c>
    </row>
    <row r="253" spans="1:9" x14ac:dyDescent="0.3">
      <c r="A253" s="1">
        <v>46042</v>
      </c>
      <c r="B253">
        <v>2026</v>
      </c>
      <c r="C253">
        <v>1</v>
      </c>
      <c r="D253" t="s">
        <v>44</v>
      </c>
      <c r="E253" t="s">
        <v>45</v>
      </c>
      <c r="F253" t="s">
        <v>35</v>
      </c>
      <c r="G253" t="s">
        <v>31</v>
      </c>
      <c r="H253">
        <v>3</v>
      </c>
      <c r="I253">
        <v>1800</v>
      </c>
    </row>
    <row r="254" spans="1:9" x14ac:dyDescent="0.3">
      <c r="A254" s="1">
        <v>46119</v>
      </c>
      <c r="B254">
        <v>2026</v>
      </c>
      <c r="C254">
        <v>4</v>
      </c>
      <c r="D254" t="s">
        <v>48</v>
      </c>
      <c r="E254" t="s">
        <v>43</v>
      </c>
      <c r="F254" t="s">
        <v>35</v>
      </c>
      <c r="G254" t="s">
        <v>31</v>
      </c>
      <c r="H254">
        <v>4</v>
      </c>
      <c r="I254">
        <v>2400</v>
      </c>
    </row>
    <row r="255" spans="1:9" x14ac:dyDescent="0.3">
      <c r="A255" s="1">
        <v>46230</v>
      </c>
      <c r="B255">
        <v>2026</v>
      </c>
      <c r="C255">
        <v>7</v>
      </c>
      <c r="D255" t="s">
        <v>44</v>
      </c>
      <c r="E255" t="s">
        <v>45</v>
      </c>
      <c r="F255" t="s">
        <v>35</v>
      </c>
      <c r="G255" t="s">
        <v>31</v>
      </c>
      <c r="H255">
        <v>1</v>
      </c>
      <c r="I255">
        <v>600</v>
      </c>
    </row>
    <row r="256" spans="1:9" x14ac:dyDescent="0.3">
      <c r="A256" s="1">
        <v>46152</v>
      </c>
      <c r="B256">
        <v>2026</v>
      </c>
      <c r="C256">
        <v>5</v>
      </c>
      <c r="D256" t="s">
        <v>46</v>
      </c>
      <c r="E256" t="s">
        <v>47</v>
      </c>
      <c r="F256" t="s">
        <v>35</v>
      </c>
      <c r="G256" t="s">
        <v>31</v>
      </c>
      <c r="H256">
        <v>5</v>
      </c>
      <c r="I256">
        <v>3000</v>
      </c>
    </row>
    <row r="257" spans="1:9" x14ac:dyDescent="0.3">
      <c r="A257" s="1">
        <v>46045</v>
      </c>
      <c r="B257">
        <v>2026</v>
      </c>
      <c r="C257">
        <v>1</v>
      </c>
      <c r="D257" t="s">
        <v>44</v>
      </c>
      <c r="E257" t="s">
        <v>45</v>
      </c>
      <c r="F257" t="s">
        <v>35</v>
      </c>
      <c r="G257" t="s">
        <v>31</v>
      </c>
      <c r="H257">
        <v>1</v>
      </c>
      <c r="I257">
        <v>600</v>
      </c>
    </row>
    <row r="258" spans="1:9" x14ac:dyDescent="0.3">
      <c r="A258" s="1">
        <v>46261</v>
      </c>
      <c r="B258">
        <v>2026</v>
      </c>
      <c r="C258">
        <v>8</v>
      </c>
      <c r="D258" t="s">
        <v>42</v>
      </c>
      <c r="E258" t="s">
        <v>43</v>
      </c>
      <c r="F258" t="s">
        <v>35</v>
      </c>
      <c r="G258" t="s">
        <v>31</v>
      </c>
      <c r="H258">
        <v>4</v>
      </c>
      <c r="I258">
        <v>2400</v>
      </c>
    </row>
    <row r="259" spans="1:9" x14ac:dyDescent="0.3">
      <c r="A259" s="1">
        <v>46101</v>
      </c>
      <c r="B259">
        <v>2026</v>
      </c>
      <c r="C259">
        <v>3</v>
      </c>
      <c r="D259" t="s">
        <v>49</v>
      </c>
      <c r="E259" t="s">
        <v>47</v>
      </c>
      <c r="F259" t="s">
        <v>35</v>
      </c>
      <c r="G259" t="s">
        <v>31</v>
      </c>
      <c r="H259">
        <v>5</v>
      </c>
      <c r="I259">
        <v>3000</v>
      </c>
    </row>
    <row r="260" spans="1:9" x14ac:dyDescent="0.3">
      <c r="A260" s="1">
        <v>46122</v>
      </c>
      <c r="B260">
        <v>2026</v>
      </c>
      <c r="C260">
        <v>4</v>
      </c>
      <c r="D260" t="s">
        <v>42</v>
      </c>
      <c r="E260" t="s">
        <v>43</v>
      </c>
      <c r="F260" t="s">
        <v>35</v>
      </c>
      <c r="G260" t="s">
        <v>31</v>
      </c>
      <c r="H260">
        <v>1</v>
      </c>
      <c r="I260">
        <v>600</v>
      </c>
    </row>
    <row r="261" spans="1:9" x14ac:dyDescent="0.3">
      <c r="A261" s="1">
        <v>46067</v>
      </c>
      <c r="B261">
        <v>2026</v>
      </c>
      <c r="C261">
        <v>2</v>
      </c>
      <c r="D261" t="s">
        <v>49</v>
      </c>
      <c r="E261" t="s">
        <v>47</v>
      </c>
      <c r="F261" t="s">
        <v>35</v>
      </c>
      <c r="G261" t="s">
        <v>31</v>
      </c>
      <c r="H261">
        <v>3</v>
      </c>
      <c r="I261">
        <v>1800</v>
      </c>
    </row>
    <row r="262" spans="1:9" x14ac:dyDescent="0.3">
      <c r="A262" s="1">
        <v>46110</v>
      </c>
      <c r="B262">
        <v>2026</v>
      </c>
      <c r="C262">
        <v>3</v>
      </c>
      <c r="D262" t="s">
        <v>42</v>
      </c>
      <c r="E262" t="s">
        <v>43</v>
      </c>
      <c r="F262" t="s">
        <v>35</v>
      </c>
      <c r="G262" t="s">
        <v>31</v>
      </c>
      <c r="H262">
        <v>3</v>
      </c>
      <c r="I262">
        <v>1800</v>
      </c>
    </row>
    <row r="263" spans="1:9" x14ac:dyDescent="0.3">
      <c r="A263" s="1">
        <v>46158</v>
      </c>
      <c r="B263">
        <v>2026</v>
      </c>
      <c r="C263">
        <v>5</v>
      </c>
      <c r="D263" t="s">
        <v>48</v>
      </c>
      <c r="E263" t="s">
        <v>43</v>
      </c>
      <c r="F263" t="s">
        <v>35</v>
      </c>
      <c r="G263" t="s">
        <v>31</v>
      </c>
      <c r="H263">
        <v>3</v>
      </c>
      <c r="I263">
        <v>1800</v>
      </c>
    </row>
    <row r="264" spans="1:9" x14ac:dyDescent="0.3">
      <c r="A264" s="1">
        <v>46069</v>
      </c>
      <c r="B264">
        <v>2026</v>
      </c>
      <c r="C264">
        <v>2</v>
      </c>
      <c r="D264" t="s">
        <v>48</v>
      </c>
      <c r="E264" t="s">
        <v>43</v>
      </c>
      <c r="F264" t="s">
        <v>35</v>
      </c>
      <c r="G264" t="s">
        <v>31</v>
      </c>
      <c r="H264">
        <v>1</v>
      </c>
      <c r="I264">
        <v>600</v>
      </c>
    </row>
    <row r="265" spans="1:9" x14ac:dyDescent="0.3">
      <c r="A265" s="1">
        <v>46281</v>
      </c>
      <c r="B265">
        <v>2026</v>
      </c>
      <c r="C265">
        <v>9</v>
      </c>
      <c r="D265" t="s">
        <v>40</v>
      </c>
      <c r="E265" t="s">
        <v>41</v>
      </c>
      <c r="F265" t="s">
        <v>35</v>
      </c>
      <c r="G265" t="s">
        <v>31</v>
      </c>
      <c r="H265">
        <v>4</v>
      </c>
      <c r="I265">
        <v>2400</v>
      </c>
    </row>
    <row r="266" spans="1:9" x14ac:dyDescent="0.3">
      <c r="A266" s="1">
        <v>46087</v>
      </c>
      <c r="B266">
        <v>2026</v>
      </c>
      <c r="C266">
        <v>3</v>
      </c>
      <c r="D266" t="s">
        <v>42</v>
      </c>
      <c r="E266" t="s">
        <v>43</v>
      </c>
      <c r="F266" t="s">
        <v>35</v>
      </c>
      <c r="G266" t="s">
        <v>31</v>
      </c>
      <c r="H266">
        <v>3</v>
      </c>
      <c r="I266">
        <v>1800</v>
      </c>
    </row>
    <row r="267" spans="1:9" x14ac:dyDescent="0.3">
      <c r="A267" s="1">
        <v>46318</v>
      </c>
      <c r="B267">
        <v>2026</v>
      </c>
      <c r="C267">
        <v>10</v>
      </c>
      <c r="D267" t="s">
        <v>42</v>
      </c>
      <c r="E267" t="s">
        <v>43</v>
      </c>
      <c r="F267" t="s">
        <v>35</v>
      </c>
      <c r="G267" t="s">
        <v>31</v>
      </c>
      <c r="H267">
        <v>2</v>
      </c>
      <c r="I267">
        <v>1200</v>
      </c>
    </row>
    <row r="268" spans="1:9" x14ac:dyDescent="0.3">
      <c r="A268" s="1">
        <v>46205</v>
      </c>
      <c r="B268">
        <v>2026</v>
      </c>
      <c r="C268">
        <v>7</v>
      </c>
      <c r="D268" t="s">
        <v>50</v>
      </c>
      <c r="E268" t="s">
        <v>41</v>
      </c>
      <c r="F268" t="s">
        <v>35</v>
      </c>
      <c r="G268" t="s">
        <v>31</v>
      </c>
      <c r="H268">
        <v>4</v>
      </c>
      <c r="I268">
        <v>2400</v>
      </c>
    </row>
    <row r="269" spans="1:9" x14ac:dyDescent="0.3">
      <c r="A269" s="1">
        <v>46077</v>
      </c>
      <c r="B269">
        <v>2026</v>
      </c>
      <c r="C269">
        <v>2</v>
      </c>
      <c r="D269" t="s">
        <v>51</v>
      </c>
      <c r="E269" t="s">
        <v>45</v>
      </c>
      <c r="F269" t="s">
        <v>35</v>
      </c>
      <c r="G269" t="s">
        <v>31</v>
      </c>
      <c r="H269">
        <v>1</v>
      </c>
      <c r="I269">
        <v>600</v>
      </c>
    </row>
    <row r="270" spans="1:9" x14ac:dyDescent="0.3">
      <c r="A270" s="1">
        <v>46208</v>
      </c>
      <c r="B270">
        <v>2026</v>
      </c>
      <c r="C270">
        <v>7</v>
      </c>
      <c r="D270" t="s">
        <v>48</v>
      </c>
      <c r="E270" t="s">
        <v>43</v>
      </c>
      <c r="F270" t="s">
        <v>35</v>
      </c>
      <c r="G270" t="s">
        <v>31</v>
      </c>
      <c r="H270">
        <v>4</v>
      </c>
      <c r="I270">
        <v>2400</v>
      </c>
    </row>
    <row r="271" spans="1:9" x14ac:dyDescent="0.3">
      <c r="A271" s="1">
        <v>46238</v>
      </c>
      <c r="B271">
        <v>2026</v>
      </c>
      <c r="C271">
        <v>8</v>
      </c>
      <c r="D271" t="s">
        <v>49</v>
      </c>
      <c r="E271" t="s">
        <v>47</v>
      </c>
      <c r="F271" t="s">
        <v>35</v>
      </c>
      <c r="G271" t="s">
        <v>31</v>
      </c>
      <c r="H271">
        <v>4</v>
      </c>
      <c r="I271">
        <v>2400</v>
      </c>
    </row>
    <row r="272" spans="1:9" x14ac:dyDescent="0.3">
      <c r="A272" s="1">
        <v>46121</v>
      </c>
      <c r="B272">
        <v>2026</v>
      </c>
      <c r="C272">
        <v>4</v>
      </c>
      <c r="D272" t="s">
        <v>49</v>
      </c>
      <c r="E272" t="s">
        <v>47</v>
      </c>
      <c r="F272" t="s">
        <v>35</v>
      </c>
      <c r="G272" t="s">
        <v>31</v>
      </c>
      <c r="H272">
        <v>3</v>
      </c>
      <c r="I272">
        <v>1800</v>
      </c>
    </row>
    <row r="273" spans="1:9" x14ac:dyDescent="0.3">
      <c r="A273" s="1">
        <v>46180</v>
      </c>
      <c r="B273">
        <v>2026</v>
      </c>
      <c r="C273">
        <v>6</v>
      </c>
      <c r="D273" t="s">
        <v>42</v>
      </c>
      <c r="E273" t="s">
        <v>43</v>
      </c>
      <c r="F273" t="s">
        <v>34</v>
      </c>
      <c r="G273" t="s">
        <v>31</v>
      </c>
      <c r="H273">
        <v>4</v>
      </c>
      <c r="I273">
        <v>4800</v>
      </c>
    </row>
    <row r="274" spans="1:9" x14ac:dyDescent="0.3">
      <c r="A274" s="1">
        <v>46108</v>
      </c>
      <c r="B274">
        <v>2026</v>
      </c>
      <c r="C274">
        <v>3</v>
      </c>
      <c r="D274" t="s">
        <v>46</v>
      </c>
      <c r="E274" t="s">
        <v>47</v>
      </c>
      <c r="F274" t="s">
        <v>34</v>
      </c>
      <c r="G274" t="s">
        <v>31</v>
      </c>
      <c r="H274">
        <v>4</v>
      </c>
      <c r="I274">
        <v>4800</v>
      </c>
    </row>
    <row r="275" spans="1:9" x14ac:dyDescent="0.3">
      <c r="A275" s="1">
        <v>46178</v>
      </c>
      <c r="B275">
        <v>2026</v>
      </c>
      <c r="C275">
        <v>6</v>
      </c>
      <c r="D275" t="s">
        <v>50</v>
      </c>
      <c r="E275" t="s">
        <v>41</v>
      </c>
      <c r="F275" t="s">
        <v>34</v>
      </c>
      <c r="G275" t="s">
        <v>31</v>
      </c>
      <c r="H275">
        <v>1</v>
      </c>
      <c r="I275">
        <v>1200</v>
      </c>
    </row>
    <row r="276" spans="1:9" x14ac:dyDescent="0.3">
      <c r="A276" s="1">
        <v>46170</v>
      </c>
      <c r="B276">
        <v>2026</v>
      </c>
      <c r="C276">
        <v>5</v>
      </c>
      <c r="D276" t="s">
        <v>42</v>
      </c>
      <c r="E276" t="s">
        <v>43</v>
      </c>
      <c r="F276" t="s">
        <v>34</v>
      </c>
      <c r="G276" t="s">
        <v>31</v>
      </c>
      <c r="H276">
        <v>5</v>
      </c>
      <c r="I276">
        <v>6000</v>
      </c>
    </row>
    <row r="277" spans="1:9" x14ac:dyDescent="0.3">
      <c r="A277" s="1">
        <v>46129</v>
      </c>
      <c r="B277">
        <v>2026</v>
      </c>
      <c r="C277">
        <v>4</v>
      </c>
      <c r="D277" t="s">
        <v>40</v>
      </c>
      <c r="E277" t="s">
        <v>41</v>
      </c>
      <c r="F277" t="s">
        <v>34</v>
      </c>
      <c r="G277" t="s">
        <v>31</v>
      </c>
      <c r="H277">
        <v>5</v>
      </c>
      <c r="I277">
        <v>6000</v>
      </c>
    </row>
    <row r="278" spans="1:9" x14ac:dyDescent="0.3">
      <c r="A278" s="1">
        <v>46060</v>
      </c>
      <c r="B278">
        <v>2026</v>
      </c>
      <c r="C278">
        <v>2</v>
      </c>
      <c r="D278" t="s">
        <v>49</v>
      </c>
      <c r="E278" t="s">
        <v>47</v>
      </c>
      <c r="F278" t="s">
        <v>34</v>
      </c>
      <c r="G278" t="s">
        <v>31</v>
      </c>
      <c r="H278">
        <v>3</v>
      </c>
      <c r="I278">
        <v>3600</v>
      </c>
    </row>
    <row r="279" spans="1:9" x14ac:dyDescent="0.3">
      <c r="A279" s="1">
        <v>46033</v>
      </c>
      <c r="B279">
        <v>2026</v>
      </c>
      <c r="C279">
        <v>1</v>
      </c>
      <c r="D279" t="s">
        <v>50</v>
      </c>
      <c r="E279" t="s">
        <v>41</v>
      </c>
      <c r="F279" t="s">
        <v>34</v>
      </c>
      <c r="G279" t="s">
        <v>31</v>
      </c>
      <c r="H279">
        <v>3</v>
      </c>
      <c r="I279">
        <v>3600</v>
      </c>
    </row>
    <row r="280" spans="1:9" x14ac:dyDescent="0.3">
      <c r="A280" s="1">
        <v>46165</v>
      </c>
      <c r="B280">
        <v>2026</v>
      </c>
      <c r="C280">
        <v>5</v>
      </c>
      <c r="D280" t="s">
        <v>46</v>
      </c>
      <c r="E280" t="s">
        <v>47</v>
      </c>
      <c r="F280" t="s">
        <v>34</v>
      </c>
      <c r="G280" t="s">
        <v>31</v>
      </c>
      <c r="H280">
        <v>2</v>
      </c>
      <c r="I280">
        <v>2400</v>
      </c>
    </row>
    <row r="281" spans="1:9" x14ac:dyDescent="0.3">
      <c r="A281" s="1">
        <v>46290</v>
      </c>
      <c r="B281">
        <v>2026</v>
      </c>
      <c r="C281">
        <v>9</v>
      </c>
      <c r="D281" t="s">
        <v>49</v>
      </c>
      <c r="E281" t="s">
        <v>47</v>
      </c>
      <c r="F281" t="s">
        <v>34</v>
      </c>
      <c r="G281" t="s">
        <v>31</v>
      </c>
      <c r="H281">
        <v>4</v>
      </c>
      <c r="I281">
        <v>4800</v>
      </c>
    </row>
    <row r="282" spans="1:9" x14ac:dyDescent="0.3">
      <c r="A282" s="1">
        <v>46195</v>
      </c>
      <c r="B282">
        <v>2026</v>
      </c>
      <c r="C282">
        <v>6</v>
      </c>
      <c r="D282" t="s">
        <v>42</v>
      </c>
      <c r="E282" t="s">
        <v>43</v>
      </c>
      <c r="F282" t="s">
        <v>34</v>
      </c>
      <c r="G282" t="s">
        <v>31</v>
      </c>
      <c r="H282">
        <v>5</v>
      </c>
      <c r="I282">
        <v>6000</v>
      </c>
    </row>
    <row r="283" spans="1:9" x14ac:dyDescent="0.3">
      <c r="A283" s="1">
        <v>46294</v>
      </c>
      <c r="B283">
        <v>2026</v>
      </c>
      <c r="C283">
        <v>9</v>
      </c>
      <c r="D283" t="s">
        <v>49</v>
      </c>
      <c r="E283" t="s">
        <v>47</v>
      </c>
      <c r="F283" t="s">
        <v>34</v>
      </c>
      <c r="G283" t="s">
        <v>31</v>
      </c>
      <c r="H283">
        <v>4</v>
      </c>
      <c r="I283">
        <v>4800</v>
      </c>
    </row>
    <row r="284" spans="1:9" x14ac:dyDescent="0.3">
      <c r="A284" s="1">
        <v>46113</v>
      </c>
      <c r="B284">
        <v>2026</v>
      </c>
      <c r="C284">
        <v>4</v>
      </c>
      <c r="D284" t="s">
        <v>44</v>
      </c>
      <c r="E284" t="s">
        <v>45</v>
      </c>
      <c r="F284" t="s">
        <v>34</v>
      </c>
      <c r="G284" t="s">
        <v>31</v>
      </c>
      <c r="H284">
        <v>2</v>
      </c>
      <c r="I284">
        <v>2400</v>
      </c>
    </row>
    <row r="285" spans="1:9" x14ac:dyDescent="0.3">
      <c r="A285" s="1">
        <v>46137</v>
      </c>
      <c r="B285">
        <v>2026</v>
      </c>
      <c r="C285">
        <v>4</v>
      </c>
      <c r="D285" t="s">
        <v>51</v>
      </c>
      <c r="E285" t="s">
        <v>45</v>
      </c>
      <c r="F285" t="s">
        <v>34</v>
      </c>
      <c r="G285" t="s">
        <v>31</v>
      </c>
      <c r="H285">
        <v>4</v>
      </c>
      <c r="I285">
        <v>4800</v>
      </c>
    </row>
    <row r="286" spans="1:9" x14ac:dyDescent="0.3">
      <c r="A286" s="1">
        <v>46028</v>
      </c>
      <c r="B286">
        <v>2026</v>
      </c>
      <c r="C286">
        <v>1</v>
      </c>
      <c r="D286" t="s">
        <v>46</v>
      </c>
      <c r="E286" t="s">
        <v>47</v>
      </c>
      <c r="F286" t="s">
        <v>34</v>
      </c>
      <c r="G286" t="s">
        <v>31</v>
      </c>
      <c r="H286">
        <v>4</v>
      </c>
      <c r="I286">
        <v>4800</v>
      </c>
    </row>
    <row r="287" spans="1:9" x14ac:dyDescent="0.3">
      <c r="A287" s="1">
        <v>46306</v>
      </c>
      <c r="B287">
        <v>2026</v>
      </c>
      <c r="C287">
        <v>10</v>
      </c>
      <c r="D287" t="s">
        <v>48</v>
      </c>
      <c r="E287" t="s">
        <v>43</v>
      </c>
      <c r="F287" t="s">
        <v>34</v>
      </c>
      <c r="G287" t="s">
        <v>31</v>
      </c>
      <c r="H287">
        <v>5</v>
      </c>
      <c r="I287">
        <v>6000</v>
      </c>
    </row>
    <row r="288" spans="1:9" x14ac:dyDescent="0.3">
      <c r="A288" s="1">
        <v>46143</v>
      </c>
      <c r="B288">
        <v>2026</v>
      </c>
      <c r="C288">
        <v>5</v>
      </c>
      <c r="D288" t="s">
        <v>49</v>
      </c>
      <c r="E288" t="s">
        <v>47</v>
      </c>
      <c r="F288" t="s">
        <v>34</v>
      </c>
      <c r="G288" t="s">
        <v>31</v>
      </c>
      <c r="H288">
        <v>2</v>
      </c>
      <c r="I288">
        <v>2400</v>
      </c>
    </row>
    <row r="289" spans="1:9" x14ac:dyDescent="0.3">
      <c r="A289" s="1">
        <v>46259</v>
      </c>
      <c r="B289">
        <v>2026</v>
      </c>
      <c r="C289">
        <v>8</v>
      </c>
      <c r="D289" t="s">
        <v>44</v>
      </c>
      <c r="E289" t="s">
        <v>45</v>
      </c>
      <c r="F289" t="s">
        <v>34</v>
      </c>
      <c r="G289" t="s">
        <v>31</v>
      </c>
      <c r="H289">
        <v>2</v>
      </c>
      <c r="I289">
        <v>2400</v>
      </c>
    </row>
    <row r="290" spans="1:9" x14ac:dyDescent="0.3">
      <c r="A290" s="1">
        <v>46129</v>
      </c>
      <c r="B290">
        <v>2026</v>
      </c>
      <c r="C290">
        <v>4</v>
      </c>
      <c r="D290" t="s">
        <v>49</v>
      </c>
      <c r="E290" t="s">
        <v>47</v>
      </c>
      <c r="F290" t="s">
        <v>34</v>
      </c>
      <c r="G290" t="s">
        <v>31</v>
      </c>
      <c r="H290">
        <v>4</v>
      </c>
      <c r="I290">
        <v>4800</v>
      </c>
    </row>
    <row r="291" spans="1:9" x14ac:dyDescent="0.3">
      <c r="A291" s="1">
        <v>46057</v>
      </c>
      <c r="B291">
        <v>2026</v>
      </c>
      <c r="C291">
        <v>2</v>
      </c>
      <c r="D291" t="s">
        <v>51</v>
      </c>
      <c r="E291" t="s">
        <v>45</v>
      </c>
      <c r="F291" t="s">
        <v>34</v>
      </c>
      <c r="G291" t="s">
        <v>31</v>
      </c>
      <c r="H291">
        <v>1</v>
      </c>
      <c r="I291">
        <v>1200</v>
      </c>
    </row>
    <row r="292" spans="1:9" x14ac:dyDescent="0.3">
      <c r="A292" s="1">
        <v>46064</v>
      </c>
      <c r="B292">
        <v>2026</v>
      </c>
      <c r="C292">
        <v>2</v>
      </c>
      <c r="D292" t="s">
        <v>42</v>
      </c>
      <c r="E292" t="s">
        <v>43</v>
      </c>
      <c r="F292" t="s">
        <v>34</v>
      </c>
      <c r="G292" t="s">
        <v>31</v>
      </c>
      <c r="H292">
        <v>1</v>
      </c>
      <c r="I292">
        <v>1200</v>
      </c>
    </row>
    <row r="293" spans="1:9" x14ac:dyDescent="0.3">
      <c r="A293" s="1">
        <v>46204</v>
      </c>
      <c r="B293">
        <v>2026</v>
      </c>
      <c r="C293">
        <v>7</v>
      </c>
      <c r="D293" t="s">
        <v>48</v>
      </c>
      <c r="E293" t="s">
        <v>43</v>
      </c>
      <c r="F293" t="s">
        <v>34</v>
      </c>
      <c r="G293" t="s">
        <v>31</v>
      </c>
      <c r="H293">
        <v>3</v>
      </c>
      <c r="I293">
        <v>3600</v>
      </c>
    </row>
    <row r="294" spans="1:9" x14ac:dyDescent="0.3">
      <c r="A294" s="1">
        <v>46029</v>
      </c>
      <c r="B294">
        <v>2026</v>
      </c>
      <c r="C294">
        <v>1</v>
      </c>
      <c r="D294" t="s">
        <v>44</v>
      </c>
      <c r="E294" t="s">
        <v>45</v>
      </c>
      <c r="F294" t="s">
        <v>34</v>
      </c>
      <c r="G294" t="s">
        <v>31</v>
      </c>
      <c r="H294">
        <v>4</v>
      </c>
      <c r="I294">
        <v>4800</v>
      </c>
    </row>
    <row r="295" spans="1:9" x14ac:dyDescent="0.3">
      <c r="A295" s="1">
        <v>46184</v>
      </c>
      <c r="B295">
        <v>2026</v>
      </c>
      <c r="C295">
        <v>6</v>
      </c>
      <c r="D295" t="s">
        <v>40</v>
      </c>
      <c r="E295" t="s">
        <v>41</v>
      </c>
      <c r="F295" t="s">
        <v>34</v>
      </c>
      <c r="G295" t="s">
        <v>31</v>
      </c>
      <c r="H295">
        <v>4</v>
      </c>
      <c r="I295">
        <v>4800</v>
      </c>
    </row>
    <row r="296" spans="1:9" x14ac:dyDescent="0.3">
      <c r="A296" s="1">
        <v>46105</v>
      </c>
      <c r="B296">
        <v>2026</v>
      </c>
      <c r="C296">
        <v>3</v>
      </c>
      <c r="D296" t="s">
        <v>42</v>
      </c>
      <c r="E296" t="s">
        <v>43</v>
      </c>
      <c r="F296" t="s">
        <v>34</v>
      </c>
      <c r="G296" t="s">
        <v>31</v>
      </c>
      <c r="H296">
        <v>5</v>
      </c>
      <c r="I296">
        <v>6000</v>
      </c>
    </row>
    <row r="297" spans="1:9" x14ac:dyDescent="0.3">
      <c r="A297" s="1">
        <v>46118</v>
      </c>
      <c r="B297">
        <v>2026</v>
      </c>
      <c r="C297">
        <v>4</v>
      </c>
      <c r="D297" t="s">
        <v>40</v>
      </c>
      <c r="E297" t="s">
        <v>41</v>
      </c>
      <c r="F297" t="s">
        <v>34</v>
      </c>
      <c r="G297" t="s">
        <v>31</v>
      </c>
      <c r="H297">
        <v>5</v>
      </c>
      <c r="I297">
        <v>6000</v>
      </c>
    </row>
    <row r="298" spans="1:9" x14ac:dyDescent="0.3">
      <c r="A298" s="1">
        <v>46187</v>
      </c>
      <c r="B298">
        <v>2026</v>
      </c>
      <c r="C298">
        <v>6</v>
      </c>
      <c r="D298" t="s">
        <v>51</v>
      </c>
      <c r="E298" t="s">
        <v>45</v>
      </c>
      <c r="F298" t="s">
        <v>34</v>
      </c>
      <c r="G298" t="s">
        <v>31</v>
      </c>
      <c r="H298">
        <v>5</v>
      </c>
      <c r="I298">
        <v>6000</v>
      </c>
    </row>
    <row r="299" spans="1:9" x14ac:dyDescent="0.3">
      <c r="A299" s="1">
        <v>46224</v>
      </c>
      <c r="B299">
        <v>2026</v>
      </c>
      <c r="C299">
        <v>7</v>
      </c>
      <c r="D299" t="s">
        <v>51</v>
      </c>
      <c r="E299" t="s">
        <v>45</v>
      </c>
      <c r="F299" t="s">
        <v>34</v>
      </c>
      <c r="G299" t="s">
        <v>31</v>
      </c>
      <c r="H299">
        <v>1</v>
      </c>
      <c r="I299">
        <v>1200</v>
      </c>
    </row>
    <row r="300" spans="1:9" x14ac:dyDescent="0.3">
      <c r="A300" s="1">
        <v>46052</v>
      </c>
      <c r="B300">
        <v>2026</v>
      </c>
      <c r="C300">
        <v>1</v>
      </c>
      <c r="D300" t="s">
        <v>42</v>
      </c>
      <c r="E300" t="s">
        <v>43</v>
      </c>
      <c r="F300" t="s">
        <v>34</v>
      </c>
      <c r="G300" t="s">
        <v>31</v>
      </c>
      <c r="H300">
        <v>2</v>
      </c>
      <c r="I300">
        <v>2400</v>
      </c>
    </row>
    <row r="301" spans="1:9" x14ac:dyDescent="0.3">
      <c r="A301" s="1">
        <v>46136</v>
      </c>
      <c r="B301">
        <v>2026</v>
      </c>
      <c r="C301">
        <v>4</v>
      </c>
      <c r="D301" t="s">
        <v>48</v>
      </c>
      <c r="E301" t="s">
        <v>43</v>
      </c>
      <c r="F301" t="s">
        <v>34</v>
      </c>
      <c r="G301" t="s">
        <v>31</v>
      </c>
      <c r="H301">
        <v>3</v>
      </c>
      <c r="I301">
        <v>3600</v>
      </c>
    </row>
    <row r="302" spans="1:9" x14ac:dyDescent="0.3">
      <c r="A302" s="1">
        <v>46216</v>
      </c>
      <c r="B302">
        <v>2026</v>
      </c>
      <c r="C302">
        <v>7</v>
      </c>
      <c r="D302" t="s">
        <v>44</v>
      </c>
      <c r="E302" t="s">
        <v>45</v>
      </c>
      <c r="F302" t="s">
        <v>34</v>
      </c>
      <c r="G302" t="s">
        <v>31</v>
      </c>
      <c r="H302">
        <v>4</v>
      </c>
      <c r="I302">
        <v>4800</v>
      </c>
    </row>
    <row r="303" spans="1:9" x14ac:dyDescent="0.3">
      <c r="A303" s="1">
        <v>46193</v>
      </c>
      <c r="B303">
        <v>2026</v>
      </c>
      <c r="C303">
        <v>6</v>
      </c>
      <c r="D303" t="s">
        <v>42</v>
      </c>
      <c r="E303" t="s">
        <v>43</v>
      </c>
      <c r="F303" t="s">
        <v>34</v>
      </c>
      <c r="G303" t="s">
        <v>31</v>
      </c>
      <c r="H303">
        <v>2</v>
      </c>
      <c r="I303">
        <v>2400</v>
      </c>
    </row>
    <row r="304" spans="1:9" x14ac:dyDescent="0.3">
      <c r="A304" s="1">
        <v>46305</v>
      </c>
      <c r="B304">
        <v>2026</v>
      </c>
      <c r="C304">
        <v>10</v>
      </c>
      <c r="D304" t="s">
        <v>49</v>
      </c>
      <c r="E304" t="s">
        <v>47</v>
      </c>
      <c r="F304" t="s">
        <v>34</v>
      </c>
      <c r="G304" t="s">
        <v>31</v>
      </c>
      <c r="H304">
        <v>3</v>
      </c>
      <c r="I304">
        <v>3600</v>
      </c>
    </row>
    <row r="305" spans="1:9" x14ac:dyDescent="0.3">
      <c r="A305" s="1">
        <v>46211</v>
      </c>
      <c r="B305">
        <v>2026</v>
      </c>
      <c r="C305">
        <v>7</v>
      </c>
      <c r="D305" t="s">
        <v>46</v>
      </c>
      <c r="E305" t="s">
        <v>47</v>
      </c>
      <c r="F305" t="s">
        <v>34</v>
      </c>
      <c r="G305" t="s">
        <v>31</v>
      </c>
      <c r="H305">
        <v>5</v>
      </c>
      <c r="I305">
        <v>6000</v>
      </c>
    </row>
    <row r="306" spans="1:9" x14ac:dyDescent="0.3">
      <c r="A306" s="1">
        <v>46292</v>
      </c>
      <c r="B306">
        <v>2026</v>
      </c>
      <c r="C306">
        <v>9</v>
      </c>
      <c r="D306" t="s">
        <v>44</v>
      </c>
      <c r="E306" t="s">
        <v>45</v>
      </c>
      <c r="F306" t="s">
        <v>34</v>
      </c>
      <c r="G306" t="s">
        <v>31</v>
      </c>
      <c r="H306">
        <v>4</v>
      </c>
      <c r="I306">
        <v>4800</v>
      </c>
    </row>
    <row r="307" spans="1:9" x14ac:dyDescent="0.3">
      <c r="A307" s="1">
        <v>46247</v>
      </c>
      <c r="B307">
        <v>2026</v>
      </c>
      <c r="C307">
        <v>8</v>
      </c>
      <c r="D307" t="s">
        <v>50</v>
      </c>
      <c r="E307" t="s">
        <v>41</v>
      </c>
      <c r="F307" t="s">
        <v>34</v>
      </c>
      <c r="G307" t="s">
        <v>31</v>
      </c>
      <c r="H307">
        <v>1</v>
      </c>
      <c r="I307">
        <v>1200</v>
      </c>
    </row>
    <row r="308" spans="1:9" x14ac:dyDescent="0.3">
      <c r="A308" s="1">
        <v>46240</v>
      </c>
      <c r="B308">
        <v>2026</v>
      </c>
      <c r="C308">
        <v>8</v>
      </c>
      <c r="D308" t="s">
        <v>42</v>
      </c>
      <c r="E308" t="s">
        <v>43</v>
      </c>
      <c r="F308" t="s">
        <v>34</v>
      </c>
      <c r="G308" t="s">
        <v>31</v>
      </c>
      <c r="H308">
        <v>4</v>
      </c>
      <c r="I308">
        <v>4800</v>
      </c>
    </row>
    <row r="309" spans="1:9" x14ac:dyDescent="0.3">
      <c r="A309" s="1">
        <v>46162</v>
      </c>
      <c r="B309">
        <v>2026</v>
      </c>
      <c r="C309">
        <v>5</v>
      </c>
      <c r="D309" t="s">
        <v>40</v>
      </c>
      <c r="E309" t="s">
        <v>41</v>
      </c>
      <c r="F309" t="s">
        <v>34</v>
      </c>
      <c r="G309" t="s">
        <v>31</v>
      </c>
      <c r="H309">
        <v>5</v>
      </c>
      <c r="I309">
        <v>6000</v>
      </c>
    </row>
    <row r="310" spans="1:9" x14ac:dyDescent="0.3">
      <c r="A310" s="1">
        <v>46024</v>
      </c>
      <c r="B310">
        <v>2026</v>
      </c>
      <c r="C310">
        <v>1</v>
      </c>
      <c r="D310" t="s">
        <v>46</v>
      </c>
      <c r="E310" t="s">
        <v>47</v>
      </c>
      <c r="F310" t="s">
        <v>34</v>
      </c>
      <c r="G310" t="s">
        <v>31</v>
      </c>
      <c r="H310">
        <v>5</v>
      </c>
      <c r="I310">
        <v>6000</v>
      </c>
    </row>
    <row r="311" spans="1:9" x14ac:dyDescent="0.3">
      <c r="A311" s="1">
        <v>46214</v>
      </c>
      <c r="B311">
        <v>2026</v>
      </c>
      <c r="C311">
        <v>7</v>
      </c>
      <c r="D311" t="s">
        <v>49</v>
      </c>
      <c r="E311" t="s">
        <v>47</v>
      </c>
      <c r="F311" t="s">
        <v>34</v>
      </c>
      <c r="G311" t="s">
        <v>31</v>
      </c>
      <c r="H311">
        <v>2</v>
      </c>
      <c r="I311">
        <v>2400</v>
      </c>
    </row>
    <row r="312" spans="1:9" x14ac:dyDescent="0.3">
      <c r="A312" s="1">
        <v>46271</v>
      </c>
      <c r="B312">
        <v>2026</v>
      </c>
      <c r="C312">
        <v>9</v>
      </c>
      <c r="D312" t="s">
        <v>51</v>
      </c>
      <c r="E312" t="s">
        <v>45</v>
      </c>
      <c r="F312" t="s">
        <v>34</v>
      </c>
      <c r="G312" t="s">
        <v>31</v>
      </c>
      <c r="H312">
        <v>2</v>
      </c>
      <c r="I312">
        <v>2400</v>
      </c>
    </row>
    <row r="313" spans="1:9" x14ac:dyDescent="0.3">
      <c r="A313" s="1">
        <v>46070</v>
      </c>
      <c r="B313">
        <v>2026</v>
      </c>
      <c r="C313">
        <v>2</v>
      </c>
      <c r="D313" t="s">
        <v>44</v>
      </c>
      <c r="E313" t="s">
        <v>45</v>
      </c>
      <c r="F313" t="s">
        <v>34</v>
      </c>
      <c r="G313" t="s">
        <v>31</v>
      </c>
      <c r="H313">
        <v>5</v>
      </c>
      <c r="I313">
        <v>6000</v>
      </c>
    </row>
    <row r="314" spans="1:9" x14ac:dyDescent="0.3">
      <c r="A314" s="1">
        <v>46164</v>
      </c>
      <c r="B314">
        <v>2026</v>
      </c>
      <c r="C314">
        <v>5</v>
      </c>
      <c r="D314" t="s">
        <v>40</v>
      </c>
      <c r="E314" t="s">
        <v>41</v>
      </c>
      <c r="F314" t="s">
        <v>34</v>
      </c>
      <c r="G314" t="s">
        <v>31</v>
      </c>
      <c r="H314">
        <v>3</v>
      </c>
      <c r="I314">
        <v>3600</v>
      </c>
    </row>
    <row r="315" spans="1:9" x14ac:dyDescent="0.3">
      <c r="A315" s="1">
        <v>46187</v>
      </c>
      <c r="B315">
        <v>2026</v>
      </c>
      <c r="C315">
        <v>6</v>
      </c>
      <c r="D315" t="s">
        <v>46</v>
      </c>
      <c r="E315" t="s">
        <v>47</v>
      </c>
      <c r="F315" t="s">
        <v>34</v>
      </c>
      <c r="G315" t="s">
        <v>31</v>
      </c>
      <c r="H315">
        <v>4</v>
      </c>
      <c r="I315">
        <v>4800</v>
      </c>
    </row>
    <row r="316" spans="1:9" x14ac:dyDescent="0.3">
      <c r="A316" s="1">
        <v>46322</v>
      </c>
      <c r="B316">
        <v>2026</v>
      </c>
      <c r="C316">
        <v>10</v>
      </c>
      <c r="D316" t="s">
        <v>50</v>
      </c>
      <c r="E316" t="s">
        <v>41</v>
      </c>
      <c r="F316" t="s">
        <v>34</v>
      </c>
      <c r="G316" t="s">
        <v>31</v>
      </c>
      <c r="H316">
        <v>3</v>
      </c>
      <c r="I316">
        <v>3600</v>
      </c>
    </row>
    <row r="317" spans="1:9" x14ac:dyDescent="0.3">
      <c r="A317" s="1">
        <v>46081</v>
      </c>
      <c r="B317">
        <v>2026</v>
      </c>
      <c r="C317">
        <v>2</v>
      </c>
      <c r="D317" t="s">
        <v>48</v>
      </c>
      <c r="E317" t="s">
        <v>43</v>
      </c>
      <c r="F317" t="s">
        <v>34</v>
      </c>
      <c r="G317" t="s">
        <v>31</v>
      </c>
      <c r="H317">
        <v>5</v>
      </c>
      <c r="I317">
        <v>6000</v>
      </c>
    </row>
    <row r="318" spans="1:9" x14ac:dyDescent="0.3">
      <c r="A318" s="1">
        <v>46092</v>
      </c>
      <c r="B318">
        <v>2026</v>
      </c>
      <c r="C318">
        <v>3</v>
      </c>
      <c r="D318" t="s">
        <v>51</v>
      </c>
      <c r="E318" t="s">
        <v>45</v>
      </c>
      <c r="F318" t="s">
        <v>34</v>
      </c>
      <c r="G318" t="s">
        <v>31</v>
      </c>
      <c r="H318">
        <v>1</v>
      </c>
      <c r="I318">
        <v>1200</v>
      </c>
    </row>
    <row r="319" spans="1:9" x14ac:dyDescent="0.3">
      <c r="A319" s="1">
        <v>46182</v>
      </c>
      <c r="B319">
        <v>2026</v>
      </c>
      <c r="C319">
        <v>6</v>
      </c>
      <c r="D319" t="s">
        <v>51</v>
      </c>
      <c r="E319" t="s">
        <v>45</v>
      </c>
      <c r="F319" t="s">
        <v>34</v>
      </c>
      <c r="G319" t="s">
        <v>31</v>
      </c>
      <c r="H319">
        <v>5</v>
      </c>
      <c r="I319">
        <v>6000</v>
      </c>
    </row>
    <row r="320" spans="1:9" x14ac:dyDescent="0.3">
      <c r="A320" s="1">
        <v>46274</v>
      </c>
      <c r="B320">
        <v>2026</v>
      </c>
      <c r="C320">
        <v>9</v>
      </c>
      <c r="D320" t="s">
        <v>44</v>
      </c>
      <c r="E320" t="s">
        <v>45</v>
      </c>
      <c r="F320" t="s">
        <v>34</v>
      </c>
      <c r="G320" t="s">
        <v>31</v>
      </c>
      <c r="H320">
        <v>4</v>
      </c>
      <c r="I320">
        <v>4800</v>
      </c>
    </row>
    <row r="321" spans="1:9" x14ac:dyDescent="0.3">
      <c r="A321" s="1">
        <v>46153</v>
      </c>
      <c r="B321">
        <v>2026</v>
      </c>
      <c r="C321">
        <v>5</v>
      </c>
      <c r="D321" t="s">
        <v>50</v>
      </c>
      <c r="E321" t="s">
        <v>41</v>
      </c>
      <c r="F321" t="s">
        <v>34</v>
      </c>
      <c r="G321" t="s">
        <v>31</v>
      </c>
      <c r="H321">
        <v>1</v>
      </c>
      <c r="I321">
        <v>1200</v>
      </c>
    </row>
    <row r="322" spans="1:9" x14ac:dyDescent="0.3">
      <c r="A322" s="1">
        <v>46221</v>
      </c>
      <c r="B322">
        <v>2026</v>
      </c>
      <c r="C322">
        <v>7</v>
      </c>
      <c r="D322" t="s">
        <v>44</v>
      </c>
      <c r="E322" t="s">
        <v>45</v>
      </c>
      <c r="F322" t="s">
        <v>34</v>
      </c>
      <c r="G322" t="s">
        <v>31</v>
      </c>
      <c r="H322">
        <v>1</v>
      </c>
      <c r="I322">
        <v>1200</v>
      </c>
    </row>
    <row r="323" spans="1:9" x14ac:dyDescent="0.3">
      <c r="A323" s="1">
        <v>46283</v>
      </c>
      <c r="B323">
        <v>2026</v>
      </c>
      <c r="C323">
        <v>9</v>
      </c>
      <c r="D323" t="s">
        <v>42</v>
      </c>
      <c r="E323" t="s">
        <v>43</v>
      </c>
      <c r="F323" t="s">
        <v>34</v>
      </c>
      <c r="G323" t="s">
        <v>31</v>
      </c>
      <c r="H323">
        <v>5</v>
      </c>
      <c r="I323">
        <v>6000</v>
      </c>
    </row>
    <row r="324" spans="1:9" x14ac:dyDescent="0.3">
      <c r="A324" s="1">
        <v>46183</v>
      </c>
      <c r="B324">
        <v>2026</v>
      </c>
      <c r="C324">
        <v>6</v>
      </c>
      <c r="D324" t="s">
        <v>46</v>
      </c>
      <c r="E324" t="s">
        <v>47</v>
      </c>
      <c r="F324" t="s">
        <v>34</v>
      </c>
      <c r="G324" t="s">
        <v>31</v>
      </c>
      <c r="H324">
        <v>4</v>
      </c>
      <c r="I324">
        <v>4800</v>
      </c>
    </row>
    <row r="325" spans="1:9" x14ac:dyDescent="0.3">
      <c r="A325" s="1">
        <v>46251</v>
      </c>
      <c r="B325">
        <v>2026</v>
      </c>
      <c r="C325">
        <v>8</v>
      </c>
      <c r="D325" t="s">
        <v>51</v>
      </c>
      <c r="E325" t="s">
        <v>45</v>
      </c>
      <c r="F325" t="s">
        <v>34</v>
      </c>
      <c r="G325" t="s">
        <v>31</v>
      </c>
      <c r="H325">
        <v>1</v>
      </c>
      <c r="I325">
        <v>1200</v>
      </c>
    </row>
    <row r="326" spans="1:9" x14ac:dyDescent="0.3">
      <c r="A326" s="1">
        <v>46040</v>
      </c>
      <c r="B326">
        <v>2026</v>
      </c>
      <c r="C326">
        <v>1</v>
      </c>
      <c r="D326" t="s">
        <v>46</v>
      </c>
      <c r="E326" t="s">
        <v>47</v>
      </c>
      <c r="F326" t="s">
        <v>34</v>
      </c>
      <c r="G326" t="s">
        <v>31</v>
      </c>
      <c r="H326">
        <v>3</v>
      </c>
      <c r="I326">
        <v>3600</v>
      </c>
    </row>
    <row r="327" spans="1:9" x14ac:dyDescent="0.3">
      <c r="A327" s="1">
        <v>46299</v>
      </c>
      <c r="B327">
        <v>2026</v>
      </c>
      <c r="C327">
        <v>10</v>
      </c>
      <c r="D327" t="s">
        <v>40</v>
      </c>
      <c r="E327" t="s">
        <v>41</v>
      </c>
      <c r="F327" t="s">
        <v>34</v>
      </c>
      <c r="G327" t="s">
        <v>31</v>
      </c>
      <c r="H327">
        <v>2</v>
      </c>
      <c r="I327">
        <v>2400</v>
      </c>
    </row>
    <row r="328" spans="1:9" x14ac:dyDescent="0.3">
      <c r="A328" s="1">
        <v>46045</v>
      </c>
      <c r="B328">
        <v>2026</v>
      </c>
      <c r="C328">
        <v>1</v>
      </c>
      <c r="D328" t="s">
        <v>40</v>
      </c>
      <c r="E328" t="s">
        <v>41</v>
      </c>
      <c r="F328" t="s">
        <v>34</v>
      </c>
      <c r="G328" t="s">
        <v>31</v>
      </c>
      <c r="H328">
        <v>1</v>
      </c>
      <c r="I328">
        <v>1200</v>
      </c>
    </row>
    <row r="329" spans="1:9" x14ac:dyDescent="0.3">
      <c r="A329" s="1">
        <v>46232</v>
      </c>
      <c r="B329">
        <v>2026</v>
      </c>
      <c r="C329">
        <v>7</v>
      </c>
      <c r="D329" t="s">
        <v>51</v>
      </c>
      <c r="E329" t="s">
        <v>45</v>
      </c>
      <c r="F329" t="s">
        <v>34</v>
      </c>
      <c r="G329" t="s">
        <v>31</v>
      </c>
      <c r="H329">
        <v>1</v>
      </c>
      <c r="I329">
        <v>1200</v>
      </c>
    </row>
    <row r="330" spans="1:9" x14ac:dyDescent="0.3">
      <c r="A330" s="1">
        <v>46075</v>
      </c>
      <c r="B330">
        <v>2026</v>
      </c>
      <c r="C330">
        <v>2</v>
      </c>
      <c r="D330" t="s">
        <v>50</v>
      </c>
      <c r="E330" t="s">
        <v>41</v>
      </c>
      <c r="F330" t="s">
        <v>34</v>
      </c>
      <c r="G330" t="s">
        <v>31</v>
      </c>
      <c r="H330">
        <v>3</v>
      </c>
      <c r="I330">
        <v>3600</v>
      </c>
    </row>
    <row r="331" spans="1:9" x14ac:dyDescent="0.3">
      <c r="A331" s="1">
        <v>46092</v>
      </c>
      <c r="B331">
        <v>2026</v>
      </c>
      <c r="C331">
        <v>3</v>
      </c>
      <c r="D331" t="s">
        <v>48</v>
      </c>
      <c r="E331" t="s">
        <v>43</v>
      </c>
      <c r="F331" t="s">
        <v>34</v>
      </c>
      <c r="G331" t="s">
        <v>31</v>
      </c>
      <c r="H331">
        <v>5</v>
      </c>
      <c r="I331">
        <v>6000</v>
      </c>
    </row>
    <row r="332" spans="1:9" x14ac:dyDescent="0.3">
      <c r="A332" s="1">
        <v>46314</v>
      </c>
      <c r="B332">
        <v>2026</v>
      </c>
      <c r="C332">
        <v>10</v>
      </c>
      <c r="D332" t="s">
        <v>42</v>
      </c>
      <c r="E332" t="s">
        <v>43</v>
      </c>
      <c r="F332" t="s">
        <v>34</v>
      </c>
      <c r="G332" t="s">
        <v>31</v>
      </c>
      <c r="H332">
        <v>3</v>
      </c>
      <c r="I332">
        <v>3600</v>
      </c>
    </row>
    <row r="333" spans="1:9" x14ac:dyDescent="0.3">
      <c r="A333" s="1">
        <v>46306</v>
      </c>
      <c r="B333">
        <v>2026</v>
      </c>
      <c r="C333">
        <v>10</v>
      </c>
      <c r="D333" t="s">
        <v>40</v>
      </c>
      <c r="E333" t="s">
        <v>41</v>
      </c>
      <c r="F333" t="s">
        <v>34</v>
      </c>
      <c r="G333" t="s">
        <v>31</v>
      </c>
      <c r="H333">
        <v>2</v>
      </c>
      <c r="I333">
        <v>2400</v>
      </c>
    </row>
    <row r="334" spans="1:9" x14ac:dyDescent="0.3">
      <c r="A334" s="1">
        <v>46024</v>
      </c>
      <c r="B334">
        <v>2026</v>
      </c>
      <c r="C334">
        <v>1</v>
      </c>
      <c r="D334" t="s">
        <v>40</v>
      </c>
      <c r="E334" t="s">
        <v>41</v>
      </c>
      <c r="F334" t="s">
        <v>34</v>
      </c>
      <c r="G334" t="s">
        <v>31</v>
      </c>
      <c r="H334">
        <v>4</v>
      </c>
      <c r="I334">
        <v>4800</v>
      </c>
    </row>
    <row r="335" spans="1:9" x14ac:dyDescent="0.3">
      <c r="A335" s="1">
        <v>46308</v>
      </c>
      <c r="B335">
        <v>2026</v>
      </c>
      <c r="C335">
        <v>10</v>
      </c>
      <c r="D335" t="s">
        <v>49</v>
      </c>
      <c r="E335" t="s">
        <v>47</v>
      </c>
      <c r="F335" t="s">
        <v>34</v>
      </c>
      <c r="G335" t="s">
        <v>31</v>
      </c>
      <c r="H335">
        <v>2</v>
      </c>
      <c r="I335">
        <v>2400</v>
      </c>
    </row>
    <row r="336" spans="1:9" x14ac:dyDescent="0.3">
      <c r="A336" s="1">
        <v>46287</v>
      </c>
      <c r="B336">
        <v>2026</v>
      </c>
      <c r="C336">
        <v>9</v>
      </c>
      <c r="D336" t="s">
        <v>42</v>
      </c>
      <c r="E336" t="s">
        <v>43</v>
      </c>
      <c r="F336" t="s">
        <v>34</v>
      </c>
      <c r="G336" t="s">
        <v>31</v>
      </c>
      <c r="H336">
        <v>2</v>
      </c>
      <c r="I336">
        <v>2400</v>
      </c>
    </row>
    <row r="337" spans="1:9" x14ac:dyDescent="0.3">
      <c r="A337" s="1">
        <v>46219</v>
      </c>
      <c r="B337">
        <v>2026</v>
      </c>
      <c r="C337">
        <v>7</v>
      </c>
      <c r="D337" t="s">
        <v>50</v>
      </c>
      <c r="E337" t="s">
        <v>41</v>
      </c>
      <c r="F337" t="s">
        <v>34</v>
      </c>
      <c r="G337" t="s">
        <v>31</v>
      </c>
      <c r="H337">
        <v>5</v>
      </c>
      <c r="I337">
        <v>6000</v>
      </c>
    </row>
    <row r="338" spans="1:9" x14ac:dyDescent="0.3">
      <c r="A338" s="1">
        <v>46202</v>
      </c>
      <c r="B338">
        <v>2026</v>
      </c>
      <c r="C338">
        <v>6</v>
      </c>
      <c r="D338" t="s">
        <v>49</v>
      </c>
      <c r="E338" t="s">
        <v>47</v>
      </c>
      <c r="F338" t="s">
        <v>34</v>
      </c>
      <c r="G338" t="s">
        <v>31</v>
      </c>
      <c r="H338">
        <v>4</v>
      </c>
      <c r="I338">
        <v>4800</v>
      </c>
    </row>
    <row r="339" spans="1:9" x14ac:dyDescent="0.3">
      <c r="A339" s="1">
        <v>46190</v>
      </c>
      <c r="B339">
        <v>2026</v>
      </c>
      <c r="C339">
        <v>6</v>
      </c>
      <c r="D339" t="s">
        <v>51</v>
      </c>
      <c r="E339" t="s">
        <v>45</v>
      </c>
      <c r="F339" t="s">
        <v>34</v>
      </c>
      <c r="G339" t="s">
        <v>31</v>
      </c>
      <c r="H339">
        <v>2</v>
      </c>
      <c r="I339">
        <v>2400</v>
      </c>
    </row>
    <row r="340" spans="1:9" x14ac:dyDescent="0.3">
      <c r="A340" s="1">
        <v>46111</v>
      </c>
      <c r="B340">
        <v>2026</v>
      </c>
      <c r="C340">
        <v>3</v>
      </c>
      <c r="D340" t="s">
        <v>49</v>
      </c>
      <c r="E340" t="s">
        <v>47</v>
      </c>
      <c r="F340" t="s">
        <v>34</v>
      </c>
      <c r="G340" t="s">
        <v>31</v>
      </c>
      <c r="H340">
        <v>5</v>
      </c>
      <c r="I340">
        <v>6000</v>
      </c>
    </row>
    <row r="341" spans="1:9" x14ac:dyDescent="0.3">
      <c r="A341" s="1">
        <v>46273</v>
      </c>
      <c r="B341">
        <v>2026</v>
      </c>
      <c r="C341">
        <v>9</v>
      </c>
      <c r="D341" t="s">
        <v>48</v>
      </c>
      <c r="E341" t="s">
        <v>43</v>
      </c>
      <c r="F341" t="s">
        <v>34</v>
      </c>
      <c r="G341" t="s">
        <v>31</v>
      </c>
      <c r="H341">
        <v>4</v>
      </c>
      <c r="I341">
        <v>4800</v>
      </c>
    </row>
    <row r="342" spans="1:9" x14ac:dyDescent="0.3">
      <c r="A342" s="1">
        <v>46297</v>
      </c>
      <c r="B342">
        <v>2026</v>
      </c>
      <c r="C342">
        <v>10</v>
      </c>
      <c r="D342" t="s">
        <v>48</v>
      </c>
      <c r="E342" t="s">
        <v>43</v>
      </c>
      <c r="F342" t="s">
        <v>34</v>
      </c>
      <c r="G342" t="s">
        <v>31</v>
      </c>
      <c r="H342">
        <v>1</v>
      </c>
      <c r="I342">
        <v>1200</v>
      </c>
    </row>
    <row r="343" spans="1:9" x14ac:dyDescent="0.3">
      <c r="A343" s="1">
        <v>46279</v>
      </c>
      <c r="B343">
        <v>2026</v>
      </c>
      <c r="C343">
        <v>9</v>
      </c>
      <c r="D343" t="s">
        <v>42</v>
      </c>
      <c r="E343" t="s">
        <v>43</v>
      </c>
      <c r="F343" t="s">
        <v>34</v>
      </c>
      <c r="G343" t="s">
        <v>31</v>
      </c>
      <c r="H343">
        <v>1</v>
      </c>
      <c r="I343">
        <v>1200</v>
      </c>
    </row>
    <row r="344" spans="1:9" x14ac:dyDescent="0.3">
      <c r="A344" s="1">
        <v>46092</v>
      </c>
      <c r="B344">
        <v>2026</v>
      </c>
      <c r="C344">
        <v>3</v>
      </c>
      <c r="D344" t="s">
        <v>46</v>
      </c>
      <c r="E344" t="s">
        <v>47</v>
      </c>
      <c r="F344" t="s">
        <v>34</v>
      </c>
      <c r="G344" t="s">
        <v>31</v>
      </c>
      <c r="H344">
        <v>3</v>
      </c>
      <c r="I344">
        <v>3600</v>
      </c>
    </row>
    <row r="345" spans="1:9" x14ac:dyDescent="0.3">
      <c r="A345" s="1">
        <v>46207</v>
      </c>
      <c r="B345">
        <v>2026</v>
      </c>
      <c r="C345">
        <v>7</v>
      </c>
      <c r="D345" t="s">
        <v>48</v>
      </c>
      <c r="E345" t="s">
        <v>43</v>
      </c>
      <c r="F345" t="s">
        <v>34</v>
      </c>
      <c r="G345" t="s">
        <v>31</v>
      </c>
      <c r="H345">
        <v>5</v>
      </c>
      <c r="I345">
        <v>6000</v>
      </c>
    </row>
    <row r="346" spans="1:9" x14ac:dyDescent="0.3">
      <c r="A346" s="1">
        <v>46236</v>
      </c>
      <c r="B346">
        <v>2026</v>
      </c>
      <c r="C346">
        <v>8</v>
      </c>
      <c r="D346" t="s">
        <v>40</v>
      </c>
      <c r="E346" t="s">
        <v>41</v>
      </c>
      <c r="F346" t="s">
        <v>34</v>
      </c>
      <c r="G346" t="s">
        <v>31</v>
      </c>
      <c r="H346">
        <v>3</v>
      </c>
      <c r="I346">
        <v>3600</v>
      </c>
    </row>
    <row r="347" spans="1:9" x14ac:dyDescent="0.3">
      <c r="A347" s="1">
        <v>46278</v>
      </c>
      <c r="B347">
        <v>2026</v>
      </c>
      <c r="C347">
        <v>9</v>
      </c>
      <c r="D347" t="s">
        <v>44</v>
      </c>
      <c r="E347" t="s">
        <v>45</v>
      </c>
      <c r="F347" t="s">
        <v>34</v>
      </c>
      <c r="G347" t="s">
        <v>31</v>
      </c>
      <c r="H347">
        <v>5</v>
      </c>
      <c r="I347">
        <v>6000</v>
      </c>
    </row>
    <row r="348" spans="1:9" x14ac:dyDescent="0.3">
      <c r="A348" s="1">
        <v>46252</v>
      </c>
      <c r="B348">
        <v>2026</v>
      </c>
      <c r="C348">
        <v>8</v>
      </c>
      <c r="D348" t="s">
        <v>44</v>
      </c>
      <c r="E348" t="s">
        <v>45</v>
      </c>
      <c r="F348" t="s">
        <v>34</v>
      </c>
      <c r="G348" t="s">
        <v>31</v>
      </c>
      <c r="H348">
        <v>4</v>
      </c>
      <c r="I348">
        <v>4800</v>
      </c>
    </row>
    <row r="349" spans="1:9" x14ac:dyDescent="0.3">
      <c r="A349" s="1">
        <v>46097</v>
      </c>
      <c r="B349">
        <v>2026</v>
      </c>
      <c r="C349">
        <v>3</v>
      </c>
      <c r="D349" t="s">
        <v>44</v>
      </c>
      <c r="E349" t="s">
        <v>45</v>
      </c>
      <c r="F349" t="s">
        <v>34</v>
      </c>
      <c r="G349" t="s">
        <v>31</v>
      </c>
      <c r="H349">
        <v>3</v>
      </c>
      <c r="I349">
        <v>3600</v>
      </c>
    </row>
    <row r="350" spans="1:9" x14ac:dyDescent="0.3">
      <c r="A350" s="1">
        <v>46235</v>
      </c>
      <c r="B350">
        <v>2026</v>
      </c>
      <c r="C350">
        <v>8</v>
      </c>
      <c r="D350" t="s">
        <v>40</v>
      </c>
      <c r="E350" t="s">
        <v>41</v>
      </c>
      <c r="F350" t="s">
        <v>34</v>
      </c>
      <c r="G350" t="s">
        <v>31</v>
      </c>
      <c r="H350">
        <v>3</v>
      </c>
      <c r="I350">
        <v>3600</v>
      </c>
    </row>
    <row r="351" spans="1:9" x14ac:dyDescent="0.3">
      <c r="A351" s="1">
        <v>46199</v>
      </c>
      <c r="B351">
        <v>2026</v>
      </c>
      <c r="C351">
        <v>6</v>
      </c>
      <c r="D351" t="s">
        <v>48</v>
      </c>
      <c r="E351" t="s">
        <v>43</v>
      </c>
      <c r="F351" t="s">
        <v>34</v>
      </c>
      <c r="G351" t="s">
        <v>31</v>
      </c>
      <c r="H351">
        <v>4</v>
      </c>
      <c r="I351">
        <v>4800</v>
      </c>
    </row>
    <row r="352" spans="1:9" x14ac:dyDescent="0.3">
      <c r="A352" s="1">
        <v>46219</v>
      </c>
      <c r="B352">
        <v>2026</v>
      </c>
      <c r="C352">
        <v>7</v>
      </c>
      <c r="D352" t="s">
        <v>49</v>
      </c>
      <c r="E352" t="s">
        <v>47</v>
      </c>
      <c r="F352" t="s">
        <v>34</v>
      </c>
      <c r="G352" t="s">
        <v>31</v>
      </c>
      <c r="H352">
        <v>1</v>
      </c>
      <c r="I352">
        <v>1200</v>
      </c>
    </row>
    <row r="353" spans="1:9" x14ac:dyDescent="0.3">
      <c r="A353" s="1">
        <v>46100</v>
      </c>
      <c r="B353">
        <v>2026</v>
      </c>
      <c r="C353">
        <v>3</v>
      </c>
      <c r="D353" t="s">
        <v>50</v>
      </c>
      <c r="E353" t="s">
        <v>41</v>
      </c>
      <c r="F353" t="s">
        <v>34</v>
      </c>
      <c r="G353" t="s">
        <v>31</v>
      </c>
      <c r="H353">
        <v>5</v>
      </c>
      <c r="I353">
        <v>6000</v>
      </c>
    </row>
    <row r="354" spans="1:9" x14ac:dyDescent="0.3">
      <c r="A354" s="1">
        <v>46164</v>
      </c>
      <c r="B354">
        <v>2026</v>
      </c>
      <c r="C354">
        <v>5</v>
      </c>
      <c r="D354" t="s">
        <v>40</v>
      </c>
      <c r="E354" t="s">
        <v>41</v>
      </c>
      <c r="F354" t="s">
        <v>34</v>
      </c>
      <c r="G354" t="s">
        <v>31</v>
      </c>
      <c r="H354">
        <v>4</v>
      </c>
      <c r="I354">
        <v>4800</v>
      </c>
    </row>
    <row r="355" spans="1:9" x14ac:dyDescent="0.3">
      <c r="A355" s="1">
        <v>46180</v>
      </c>
      <c r="B355">
        <v>2026</v>
      </c>
      <c r="C355">
        <v>6</v>
      </c>
      <c r="D355" t="s">
        <v>44</v>
      </c>
      <c r="E355" t="s">
        <v>45</v>
      </c>
      <c r="F355" t="s">
        <v>34</v>
      </c>
      <c r="G355" t="s">
        <v>31</v>
      </c>
      <c r="H355">
        <v>1</v>
      </c>
      <c r="I355">
        <v>1200</v>
      </c>
    </row>
    <row r="356" spans="1:9" x14ac:dyDescent="0.3">
      <c r="A356" s="1">
        <v>46221</v>
      </c>
      <c r="B356">
        <v>2026</v>
      </c>
      <c r="C356">
        <v>7</v>
      </c>
      <c r="D356" t="s">
        <v>48</v>
      </c>
      <c r="E356" t="s">
        <v>43</v>
      </c>
      <c r="F356" t="s">
        <v>34</v>
      </c>
      <c r="G356" t="s">
        <v>31</v>
      </c>
      <c r="H356">
        <v>1</v>
      </c>
      <c r="I356">
        <v>1200</v>
      </c>
    </row>
    <row r="357" spans="1:9" x14ac:dyDescent="0.3">
      <c r="A357" s="1">
        <v>46057</v>
      </c>
      <c r="B357">
        <v>2026</v>
      </c>
      <c r="C357">
        <v>2</v>
      </c>
      <c r="D357" t="s">
        <v>51</v>
      </c>
      <c r="E357" t="s">
        <v>45</v>
      </c>
      <c r="F357" t="s">
        <v>34</v>
      </c>
      <c r="G357" t="s">
        <v>31</v>
      </c>
      <c r="H357">
        <v>1</v>
      </c>
      <c r="I357">
        <v>1200</v>
      </c>
    </row>
    <row r="358" spans="1:9" x14ac:dyDescent="0.3">
      <c r="A358" s="1">
        <v>46250</v>
      </c>
      <c r="B358">
        <v>2026</v>
      </c>
      <c r="C358">
        <v>8</v>
      </c>
      <c r="D358" t="s">
        <v>51</v>
      </c>
      <c r="E358" t="s">
        <v>45</v>
      </c>
      <c r="F358" t="s">
        <v>34</v>
      </c>
      <c r="G358" t="s">
        <v>31</v>
      </c>
      <c r="H358">
        <v>4</v>
      </c>
      <c r="I358">
        <v>4800</v>
      </c>
    </row>
    <row r="359" spans="1:9" x14ac:dyDescent="0.3">
      <c r="A359" s="1">
        <v>46097</v>
      </c>
      <c r="B359">
        <v>2026</v>
      </c>
      <c r="C359">
        <v>3</v>
      </c>
      <c r="D359" t="s">
        <v>48</v>
      </c>
      <c r="E359" t="s">
        <v>43</v>
      </c>
      <c r="F359" t="s">
        <v>34</v>
      </c>
      <c r="G359" t="s">
        <v>31</v>
      </c>
      <c r="H359">
        <v>3</v>
      </c>
      <c r="I359">
        <v>3600</v>
      </c>
    </row>
    <row r="360" spans="1:9" x14ac:dyDescent="0.3">
      <c r="A360" s="1">
        <v>46300</v>
      </c>
      <c r="B360">
        <v>2026</v>
      </c>
      <c r="C360">
        <v>10</v>
      </c>
      <c r="D360" t="s">
        <v>44</v>
      </c>
      <c r="E360" t="s">
        <v>45</v>
      </c>
      <c r="F360" t="s">
        <v>34</v>
      </c>
      <c r="G360" t="s">
        <v>31</v>
      </c>
      <c r="H360">
        <v>1</v>
      </c>
      <c r="I360">
        <v>1200</v>
      </c>
    </row>
    <row r="361" spans="1:9" x14ac:dyDescent="0.3">
      <c r="A361" s="1">
        <v>46093</v>
      </c>
      <c r="B361">
        <v>2026</v>
      </c>
      <c r="C361">
        <v>3</v>
      </c>
      <c r="D361" t="s">
        <v>40</v>
      </c>
      <c r="E361" t="s">
        <v>41</v>
      </c>
      <c r="F361" t="s">
        <v>34</v>
      </c>
      <c r="G361" t="s">
        <v>31</v>
      </c>
      <c r="H361">
        <v>5</v>
      </c>
      <c r="I361">
        <v>6000</v>
      </c>
    </row>
    <row r="362" spans="1:9" x14ac:dyDescent="0.3">
      <c r="A362" s="1">
        <v>46165</v>
      </c>
      <c r="B362">
        <v>2026</v>
      </c>
      <c r="C362">
        <v>5</v>
      </c>
      <c r="D362" t="s">
        <v>48</v>
      </c>
      <c r="E362" t="s">
        <v>43</v>
      </c>
      <c r="F362" t="s">
        <v>34</v>
      </c>
      <c r="G362" t="s">
        <v>31</v>
      </c>
      <c r="H362">
        <v>5</v>
      </c>
      <c r="I362">
        <v>6000</v>
      </c>
    </row>
    <row r="363" spans="1:9" x14ac:dyDescent="0.3">
      <c r="A363" s="1">
        <v>46159</v>
      </c>
      <c r="B363">
        <v>2026</v>
      </c>
      <c r="C363">
        <v>5</v>
      </c>
      <c r="D363" t="s">
        <v>44</v>
      </c>
      <c r="E363" t="s">
        <v>45</v>
      </c>
      <c r="F363" t="s">
        <v>34</v>
      </c>
      <c r="G363" t="s">
        <v>31</v>
      </c>
      <c r="H363">
        <v>1</v>
      </c>
      <c r="I363">
        <v>1200</v>
      </c>
    </row>
    <row r="364" spans="1:9" x14ac:dyDescent="0.3">
      <c r="A364" s="1">
        <v>46280</v>
      </c>
      <c r="B364">
        <v>2026</v>
      </c>
      <c r="C364">
        <v>9</v>
      </c>
      <c r="D364" t="s">
        <v>44</v>
      </c>
      <c r="E364" t="s">
        <v>45</v>
      </c>
      <c r="F364" t="s">
        <v>34</v>
      </c>
      <c r="G364" t="s">
        <v>31</v>
      </c>
      <c r="H364">
        <v>3</v>
      </c>
      <c r="I364">
        <v>3600</v>
      </c>
    </row>
    <row r="365" spans="1:9" x14ac:dyDescent="0.3">
      <c r="A365" s="1">
        <v>46141</v>
      </c>
      <c r="B365">
        <v>2026</v>
      </c>
      <c r="C365">
        <v>4</v>
      </c>
      <c r="D365" t="s">
        <v>50</v>
      </c>
      <c r="E365" t="s">
        <v>41</v>
      </c>
      <c r="F365" t="s">
        <v>34</v>
      </c>
      <c r="G365" t="s">
        <v>31</v>
      </c>
      <c r="H365">
        <v>4</v>
      </c>
      <c r="I365">
        <v>4800</v>
      </c>
    </row>
    <row r="366" spans="1:9" x14ac:dyDescent="0.3">
      <c r="A366" s="1">
        <v>46198</v>
      </c>
      <c r="B366">
        <v>2026</v>
      </c>
      <c r="C366">
        <v>6</v>
      </c>
      <c r="D366" t="s">
        <v>40</v>
      </c>
      <c r="E366" t="s">
        <v>41</v>
      </c>
      <c r="F366" t="s">
        <v>34</v>
      </c>
      <c r="G366" t="s">
        <v>31</v>
      </c>
      <c r="H366">
        <v>2</v>
      </c>
      <c r="I366">
        <v>2400</v>
      </c>
    </row>
    <row r="367" spans="1:9" x14ac:dyDescent="0.3">
      <c r="A367" s="1">
        <v>46092</v>
      </c>
      <c r="B367">
        <v>2026</v>
      </c>
      <c r="C367">
        <v>3</v>
      </c>
      <c r="D367" t="s">
        <v>46</v>
      </c>
      <c r="E367" t="s">
        <v>47</v>
      </c>
      <c r="F367" t="s">
        <v>34</v>
      </c>
      <c r="G367" t="s">
        <v>31</v>
      </c>
      <c r="H367">
        <v>5</v>
      </c>
      <c r="I367">
        <v>6000</v>
      </c>
    </row>
    <row r="368" spans="1:9" x14ac:dyDescent="0.3">
      <c r="A368" s="1">
        <v>46293</v>
      </c>
      <c r="B368">
        <v>2026</v>
      </c>
      <c r="C368">
        <v>9</v>
      </c>
      <c r="D368" t="s">
        <v>46</v>
      </c>
      <c r="E368" t="s">
        <v>47</v>
      </c>
      <c r="F368" t="s">
        <v>34</v>
      </c>
      <c r="G368" t="s">
        <v>31</v>
      </c>
      <c r="H368">
        <v>4</v>
      </c>
      <c r="I368">
        <v>4800</v>
      </c>
    </row>
    <row r="369" spans="1:9" x14ac:dyDescent="0.3">
      <c r="A369" s="1">
        <v>46312</v>
      </c>
      <c r="B369">
        <v>2026</v>
      </c>
      <c r="C369">
        <v>10</v>
      </c>
      <c r="D369" t="s">
        <v>50</v>
      </c>
      <c r="E369" t="s">
        <v>41</v>
      </c>
      <c r="F369" t="s">
        <v>34</v>
      </c>
      <c r="G369" t="s">
        <v>31</v>
      </c>
      <c r="H369">
        <v>2</v>
      </c>
      <c r="I369">
        <v>2400</v>
      </c>
    </row>
    <row r="370" spans="1:9" x14ac:dyDescent="0.3">
      <c r="A370" s="1">
        <v>46284</v>
      </c>
      <c r="B370">
        <v>2026</v>
      </c>
      <c r="C370">
        <v>9</v>
      </c>
      <c r="D370" t="s">
        <v>51</v>
      </c>
      <c r="E370" t="s">
        <v>45</v>
      </c>
      <c r="F370" t="s">
        <v>34</v>
      </c>
      <c r="G370" t="s">
        <v>31</v>
      </c>
      <c r="H370">
        <v>1</v>
      </c>
      <c r="I370">
        <v>1200</v>
      </c>
    </row>
    <row r="371" spans="1:9" x14ac:dyDescent="0.3">
      <c r="A371" s="1">
        <v>46291</v>
      </c>
      <c r="B371">
        <v>2026</v>
      </c>
      <c r="C371">
        <v>9</v>
      </c>
      <c r="D371" t="s">
        <v>48</v>
      </c>
      <c r="E371" t="s">
        <v>43</v>
      </c>
      <c r="F371" t="s">
        <v>34</v>
      </c>
      <c r="G371" t="s">
        <v>31</v>
      </c>
      <c r="H371">
        <v>3</v>
      </c>
      <c r="I371">
        <v>3600</v>
      </c>
    </row>
    <row r="372" spans="1:9" x14ac:dyDescent="0.3">
      <c r="A372" s="1">
        <v>46294</v>
      </c>
      <c r="B372">
        <v>2026</v>
      </c>
      <c r="C372">
        <v>9</v>
      </c>
      <c r="D372" t="s">
        <v>44</v>
      </c>
      <c r="E372" t="s">
        <v>45</v>
      </c>
      <c r="F372" t="s">
        <v>34</v>
      </c>
      <c r="G372" t="s">
        <v>31</v>
      </c>
      <c r="H372">
        <v>3</v>
      </c>
      <c r="I372">
        <v>3600</v>
      </c>
    </row>
    <row r="373" spans="1:9" x14ac:dyDescent="0.3">
      <c r="A373" s="1">
        <v>46069</v>
      </c>
      <c r="B373">
        <v>2026</v>
      </c>
      <c r="C373">
        <v>2</v>
      </c>
      <c r="D373" t="s">
        <v>42</v>
      </c>
      <c r="E373" t="s">
        <v>43</v>
      </c>
      <c r="F373" t="s">
        <v>34</v>
      </c>
      <c r="G373" t="s">
        <v>31</v>
      </c>
      <c r="H373">
        <v>5</v>
      </c>
      <c r="I373">
        <v>6000</v>
      </c>
    </row>
    <row r="374" spans="1:9" x14ac:dyDescent="0.3">
      <c r="A374" s="1">
        <v>46079</v>
      </c>
      <c r="B374">
        <v>2026</v>
      </c>
      <c r="C374">
        <v>2</v>
      </c>
      <c r="D374" t="s">
        <v>50</v>
      </c>
      <c r="E374" t="s">
        <v>41</v>
      </c>
      <c r="F374" t="s">
        <v>34</v>
      </c>
      <c r="G374" t="s">
        <v>31</v>
      </c>
      <c r="H374">
        <v>4</v>
      </c>
      <c r="I374">
        <v>4800</v>
      </c>
    </row>
    <row r="375" spans="1:9" x14ac:dyDescent="0.3">
      <c r="A375" s="1">
        <v>46246</v>
      </c>
      <c r="B375">
        <v>2026</v>
      </c>
      <c r="C375">
        <v>8</v>
      </c>
      <c r="D375" t="s">
        <v>44</v>
      </c>
      <c r="E375" t="s">
        <v>45</v>
      </c>
      <c r="F375" t="s">
        <v>34</v>
      </c>
      <c r="G375" t="s">
        <v>31</v>
      </c>
      <c r="H375">
        <v>4</v>
      </c>
      <c r="I375">
        <v>4800</v>
      </c>
    </row>
    <row r="376" spans="1:9" x14ac:dyDescent="0.3">
      <c r="A376" s="1">
        <v>46171</v>
      </c>
      <c r="B376">
        <v>2026</v>
      </c>
      <c r="C376">
        <v>5</v>
      </c>
      <c r="D376" t="s">
        <v>50</v>
      </c>
      <c r="E376" t="s">
        <v>41</v>
      </c>
      <c r="F376" t="s">
        <v>34</v>
      </c>
      <c r="G376" t="s">
        <v>31</v>
      </c>
      <c r="H376">
        <v>2</v>
      </c>
      <c r="I376">
        <v>2400</v>
      </c>
    </row>
    <row r="377" spans="1:9" x14ac:dyDescent="0.3">
      <c r="A377" s="1">
        <v>46216</v>
      </c>
      <c r="B377">
        <v>2026</v>
      </c>
      <c r="C377">
        <v>7</v>
      </c>
      <c r="D377" t="s">
        <v>46</v>
      </c>
      <c r="E377" t="s">
        <v>47</v>
      </c>
      <c r="F377" t="s">
        <v>34</v>
      </c>
      <c r="G377" t="s">
        <v>31</v>
      </c>
      <c r="H377">
        <v>2</v>
      </c>
      <c r="I377">
        <v>2400</v>
      </c>
    </row>
    <row r="378" spans="1:9" x14ac:dyDescent="0.3">
      <c r="A378" s="1">
        <v>46132</v>
      </c>
      <c r="B378">
        <v>2026</v>
      </c>
      <c r="C378">
        <v>4</v>
      </c>
      <c r="D378" t="s">
        <v>50</v>
      </c>
      <c r="E378" t="s">
        <v>41</v>
      </c>
      <c r="F378" t="s">
        <v>34</v>
      </c>
      <c r="G378" t="s">
        <v>31</v>
      </c>
      <c r="H378">
        <v>3</v>
      </c>
      <c r="I378">
        <v>3600</v>
      </c>
    </row>
    <row r="379" spans="1:9" x14ac:dyDescent="0.3">
      <c r="A379" s="1">
        <v>46279</v>
      </c>
      <c r="B379">
        <v>2026</v>
      </c>
      <c r="C379">
        <v>9</v>
      </c>
      <c r="D379" t="s">
        <v>40</v>
      </c>
      <c r="E379" t="s">
        <v>41</v>
      </c>
      <c r="F379" t="s">
        <v>34</v>
      </c>
      <c r="G379" t="s">
        <v>31</v>
      </c>
      <c r="H379">
        <v>1</v>
      </c>
      <c r="I379">
        <v>1200</v>
      </c>
    </row>
    <row r="380" spans="1:9" x14ac:dyDescent="0.3">
      <c r="A380" s="1">
        <v>46171</v>
      </c>
      <c r="B380">
        <v>2026</v>
      </c>
      <c r="C380">
        <v>5</v>
      </c>
      <c r="D380" t="s">
        <v>51</v>
      </c>
      <c r="E380" t="s">
        <v>45</v>
      </c>
      <c r="F380" t="s">
        <v>34</v>
      </c>
      <c r="G380" t="s">
        <v>31</v>
      </c>
      <c r="H380">
        <v>5</v>
      </c>
      <c r="I380">
        <v>6000</v>
      </c>
    </row>
    <row r="381" spans="1:9" x14ac:dyDescent="0.3">
      <c r="A381" s="1">
        <v>46245</v>
      </c>
      <c r="B381">
        <v>2026</v>
      </c>
      <c r="C381">
        <v>8</v>
      </c>
      <c r="D381" t="s">
        <v>48</v>
      </c>
      <c r="E381" t="s">
        <v>43</v>
      </c>
      <c r="F381" t="s">
        <v>34</v>
      </c>
      <c r="G381" t="s">
        <v>31</v>
      </c>
      <c r="H381">
        <v>1</v>
      </c>
      <c r="I381">
        <v>1200</v>
      </c>
    </row>
    <row r="382" spans="1:9" x14ac:dyDescent="0.3">
      <c r="A382" s="1">
        <v>46308</v>
      </c>
      <c r="B382">
        <v>2026</v>
      </c>
      <c r="C382">
        <v>10</v>
      </c>
      <c r="D382" t="s">
        <v>48</v>
      </c>
      <c r="E382" t="s">
        <v>43</v>
      </c>
      <c r="F382" t="s">
        <v>34</v>
      </c>
      <c r="G382" t="s">
        <v>31</v>
      </c>
      <c r="H382">
        <v>3</v>
      </c>
      <c r="I382">
        <v>3600</v>
      </c>
    </row>
    <row r="383" spans="1:9" x14ac:dyDescent="0.3">
      <c r="A383" s="1">
        <v>46319</v>
      </c>
      <c r="B383">
        <v>2026</v>
      </c>
      <c r="C383">
        <v>10</v>
      </c>
      <c r="D383" t="s">
        <v>51</v>
      </c>
      <c r="E383" t="s">
        <v>45</v>
      </c>
      <c r="F383" t="s">
        <v>34</v>
      </c>
      <c r="G383" t="s">
        <v>31</v>
      </c>
      <c r="H383">
        <v>2</v>
      </c>
      <c r="I383">
        <v>2400</v>
      </c>
    </row>
    <row r="384" spans="1:9" x14ac:dyDescent="0.3">
      <c r="A384" s="1">
        <v>46050</v>
      </c>
      <c r="B384">
        <v>2026</v>
      </c>
      <c r="C384">
        <v>1</v>
      </c>
      <c r="D384" t="s">
        <v>44</v>
      </c>
      <c r="E384" t="s">
        <v>45</v>
      </c>
      <c r="F384" t="s">
        <v>34</v>
      </c>
      <c r="G384" t="s">
        <v>31</v>
      </c>
      <c r="H384">
        <v>4</v>
      </c>
      <c r="I384">
        <v>4800</v>
      </c>
    </row>
    <row r="385" spans="1:9" x14ac:dyDescent="0.3">
      <c r="A385" s="1">
        <v>46211</v>
      </c>
      <c r="B385">
        <v>2026</v>
      </c>
      <c r="C385">
        <v>7</v>
      </c>
      <c r="D385" t="s">
        <v>51</v>
      </c>
      <c r="E385" t="s">
        <v>45</v>
      </c>
      <c r="F385" t="s">
        <v>34</v>
      </c>
      <c r="G385" t="s">
        <v>31</v>
      </c>
      <c r="H385">
        <v>4</v>
      </c>
      <c r="I385">
        <v>4800</v>
      </c>
    </row>
    <row r="386" spans="1:9" x14ac:dyDescent="0.3">
      <c r="A386" s="1">
        <v>46046</v>
      </c>
      <c r="B386">
        <v>2026</v>
      </c>
      <c r="C386">
        <v>1</v>
      </c>
      <c r="D386" t="s">
        <v>46</v>
      </c>
      <c r="E386" t="s">
        <v>47</v>
      </c>
      <c r="F386" t="s">
        <v>34</v>
      </c>
      <c r="G386" t="s">
        <v>31</v>
      </c>
      <c r="H386">
        <v>4</v>
      </c>
      <c r="I386">
        <v>4800</v>
      </c>
    </row>
    <row r="387" spans="1:9" x14ac:dyDescent="0.3">
      <c r="A387" s="1">
        <v>46189</v>
      </c>
      <c r="B387">
        <v>2026</v>
      </c>
      <c r="C387">
        <v>6</v>
      </c>
      <c r="D387" t="s">
        <v>48</v>
      </c>
      <c r="E387" t="s">
        <v>43</v>
      </c>
      <c r="F387" t="s">
        <v>34</v>
      </c>
      <c r="G387" t="s">
        <v>31</v>
      </c>
      <c r="H387">
        <v>2</v>
      </c>
      <c r="I387">
        <v>2400</v>
      </c>
    </row>
    <row r="388" spans="1:9" x14ac:dyDescent="0.3">
      <c r="A388" s="1">
        <v>46043</v>
      </c>
      <c r="B388">
        <v>2026</v>
      </c>
      <c r="C388">
        <v>1</v>
      </c>
      <c r="D388" t="s">
        <v>42</v>
      </c>
      <c r="E388" t="s">
        <v>43</v>
      </c>
      <c r="F388" t="s">
        <v>34</v>
      </c>
      <c r="G388" t="s">
        <v>31</v>
      </c>
      <c r="H388">
        <v>3</v>
      </c>
      <c r="I388">
        <v>3600</v>
      </c>
    </row>
    <row r="389" spans="1:9" x14ac:dyDescent="0.3">
      <c r="A389" s="1">
        <v>46056</v>
      </c>
      <c r="B389">
        <v>2026</v>
      </c>
      <c r="C389">
        <v>2</v>
      </c>
      <c r="D389" t="s">
        <v>44</v>
      </c>
      <c r="E389" t="s">
        <v>45</v>
      </c>
      <c r="F389" t="s">
        <v>34</v>
      </c>
      <c r="G389" t="s">
        <v>31</v>
      </c>
      <c r="H389">
        <v>1</v>
      </c>
      <c r="I389">
        <v>1200</v>
      </c>
    </row>
    <row r="390" spans="1:9" x14ac:dyDescent="0.3">
      <c r="A390" s="1">
        <v>46203</v>
      </c>
      <c r="B390">
        <v>2026</v>
      </c>
      <c r="C390">
        <v>6</v>
      </c>
      <c r="D390" t="s">
        <v>46</v>
      </c>
      <c r="E390" t="s">
        <v>47</v>
      </c>
      <c r="F390" t="s">
        <v>34</v>
      </c>
      <c r="G390" t="s">
        <v>31</v>
      </c>
      <c r="H390">
        <v>5</v>
      </c>
      <c r="I390">
        <v>6000</v>
      </c>
    </row>
    <row r="391" spans="1:9" x14ac:dyDescent="0.3">
      <c r="A391" s="1">
        <v>46218</v>
      </c>
      <c r="B391">
        <v>2026</v>
      </c>
      <c r="C391">
        <v>7</v>
      </c>
      <c r="D391" t="s">
        <v>42</v>
      </c>
      <c r="E391" t="s">
        <v>43</v>
      </c>
      <c r="F391" t="s">
        <v>34</v>
      </c>
      <c r="G391" t="s">
        <v>31</v>
      </c>
      <c r="H391">
        <v>3</v>
      </c>
      <c r="I391">
        <v>3600</v>
      </c>
    </row>
    <row r="392" spans="1:9" x14ac:dyDescent="0.3">
      <c r="A392" s="1">
        <v>46220</v>
      </c>
      <c r="B392">
        <v>2026</v>
      </c>
      <c r="C392">
        <v>7</v>
      </c>
      <c r="D392" t="s">
        <v>40</v>
      </c>
      <c r="E392" t="s">
        <v>41</v>
      </c>
      <c r="F392" t="s">
        <v>34</v>
      </c>
      <c r="G392" t="s">
        <v>31</v>
      </c>
      <c r="H392">
        <v>1</v>
      </c>
      <c r="I392">
        <v>1200</v>
      </c>
    </row>
    <row r="393" spans="1:9" x14ac:dyDescent="0.3">
      <c r="A393" s="1">
        <v>46111</v>
      </c>
      <c r="B393">
        <v>2026</v>
      </c>
      <c r="C393">
        <v>3</v>
      </c>
      <c r="D393" t="s">
        <v>44</v>
      </c>
      <c r="E393" t="s">
        <v>45</v>
      </c>
      <c r="F393" t="s">
        <v>34</v>
      </c>
      <c r="G393" t="s">
        <v>31</v>
      </c>
      <c r="H393">
        <v>2</v>
      </c>
      <c r="I393">
        <v>2400</v>
      </c>
    </row>
    <row r="394" spans="1:9" x14ac:dyDescent="0.3">
      <c r="A394" s="1">
        <v>46149</v>
      </c>
      <c r="B394">
        <v>2026</v>
      </c>
      <c r="C394">
        <v>5</v>
      </c>
      <c r="D394" t="s">
        <v>51</v>
      </c>
      <c r="E394" t="s">
        <v>45</v>
      </c>
      <c r="F394" t="s">
        <v>34</v>
      </c>
      <c r="G394" t="s">
        <v>31</v>
      </c>
      <c r="H394">
        <v>5</v>
      </c>
      <c r="I394">
        <v>6000</v>
      </c>
    </row>
    <row r="395" spans="1:9" x14ac:dyDescent="0.3">
      <c r="A395" s="1">
        <v>46091</v>
      </c>
      <c r="B395">
        <v>2026</v>
      </c>
      <c r="C395">
        <v>3</v>
      </c>
      <c r="D395" t="s">
        <v>46</v>
      </c>
      <c r="E395" t="s">
        <v>47</v>
      </c>
      <c r="F395" t="s">
        <v>34</v>
      </c>
      <c r="G395" t="s">
        <v>31</v>
      </c>
      <c r="H395">
        <v>1</v>
      </c>
      <c r="I395">
        <v>1200</v>
      </c>
    </row>
    <row r="396" spans="1:9" x14ac:dyDescent="0.3">
      <c r="A396" s="1">
        <v>46154</v>
      </c>
      <c r="B396">
        <v>2026</v>
      </c>
      <c r="C396">
        <v>5</v>
      </c>
      <c r="D396" t="s">
        <v>46</v>
      </c>
      <c r="E396" t="s">
        <v>47</v>
      </c>
      <c r="F396" t="s">
        <v>34</v>
      </c>
      <c r="G396" t="s">
        <v>31</v>
      </c>
      <c r="H396">
        <v>4</v>
      </c>
      <c r="I396">
        <v>4800</v>
      </c>
    </row>
    <row r="397" spans="1:9" x14ac:dyDescent="0.3">
      <c r="A397" s="1">
        <v>46123</v>
      </c>
      <c r="B397">
        <v>2026</v>
      </c>
      <c r="C397">
        <v>4</v>
      </c>
      <c r="D397" t="s">
        <v>48</v>
      </c>
      <c r="E397" t="s">
        <v>43</v>
      </c>
      <c r="F397" t="s">
        <v>34</v>
      </c>
      <c r="G397" t="s">
        <v>31</v>
      </c>
      <c r="H397">
        <v>4</v>
      </c>
      <c r="I397">
        <v>4800</v>
      </c>
    </row>
    <row r="398" spans="1:9" x14ac:dyDescent="0.3">
      <c r="A398" s="1">
        <v>46078</v>
      </c>
      <c r="B398">
        <v>2026</v>
      </c>
      <c r="C398">
        <v>2</v>
      </c>
      <c r="D398" t="s">
        <v>50</v>
      </c>
      <c r="E398" t="s">
        <v>41</v>
      </c>
      <c r="F398" t="s">
        <v>34</v>
      </c>
      <c r="G398" t="s">
        <v>31</v>
      </c>
      <c r="H398">
        <v>5</v>
      </c>
      <c r="I398">
        <v>6000</v>
      </c>
    </row>
    <row r="399" spans="1:9" x14ac:dyDescent="0.3">
      <c r="A399" s="1">
        <v>46170</v>
      </c>
      <c r="B399">
        <v>2026</v>
      </c>
      <c r="C399">
        <v>5</v>
      </c>
      <c r="D399" t="s">
        <v>44</v>
      </c>
      <c r="E399" t="s">
        <v>45</v>
      </c>
      <c r="F399" t="s">
        <v>34</v>
      </c>
      <c r="G399" t="s">
        <v>31</v>
      </c>
      <c r="H399">
        <v>4</v>
      </c>
      <c r="I399">
        <v>4800</v>
      </c>
    </row>
    <row r="400" spans="1:9" x14ac:dyDescent="0.3">
      <c r="A400" s="1">
        <v>46090</v>
      </c>
      <c r="B400">
        <v>2026</v>
      </c>
      <c r="C400">
        <v>3</v>
      </c>
      <c r="D400" t="s">
        <v>51</v>
      </c>
      <c r="E400" t="s">
        <v>45</v>
      </c>
      <c r="F400" t="s">
        <v>34</v>
      </c>
      <c r="G400" t="s">
        <v>31</v>
      </c>
      <c r="H400">
        <v>2</v>
      </c>
      <c r="I400">
        <v>2400</v>
      </c>
    </row>
    <row r="401" spans="1:9" x14ac:dyDescent="0.3">
      <c r="A401" s="1">
        <v>46131</v>
      </c>
      <c r="B401">
        <v>2026</v>
      </c>
      <c r="C401">
        <v>4</v>
      </c>
      <c r="D401" t="s">
        <v>51</v>
      </c>
      <c r="E401" t="s">
        <v>45</v>
      </c>
      <c r="F401" t="s">
        <v>34</v>
      </c>
      <c r="G401" t="s">
        <v>31</v>
      </c>
      <c r="H401">
        <v>5</v>
      </c>
      <c r="I401">
        <v>6000</v>
      </c>
    </row>
    <row r="402" spans="1:9" x14ac:dyDescent="0.3">
      <c r="A402" s="1">
        <v>46131</v>
      </c>
      <c r="B402">
        <v>2026</v>
      </c>
      <c r="C402">
        <v>4</v>
      </c>
      <c r="D402" t="s">
        <v>50</v>
      </c>
      <c r="E402" t="s">
        <v>41</v>
      </c>
      <c r="F402" t="s">
        <v>34</v>
      </c>
      <c r="G402" t="s">
        <v>31</v>
      </c>
      <c r="H402">
        <v>4</v>
      </c>
      <c r="I402">
        <v>4800</v>
      </c>
    </row>
    <row r="403" spans="1:9" x14ac:dyDescent="0.3">
      <c r="A403" s="1">
        <v>46087</v>
      </c>
      <c r="B403">
        <v>2026</v>
      </c>
      <c r="C403">
        <v>3</v>
      </c>
      <c r="D403" t="s">
        <v>50</v>
      </c>
      <c r="E403" t="s">
        <v>41</v>
      </c>
      <c r="F403" t="s">
        <v>34</v>
      </c>
      <c r="G403" t="s">
        <v>31</v>
      </c>
      <c r="H403">
        <v>4</v>
      </c>
      <c r="I403">
        <v>4800</v>
      </c>
    </row>
    <row r="404" spans="1:9" x14ac:dyDescent="0.3">
      <c r="A404" s="1">
        <v>46196</v>
      </c>
      <c r="B404">
        <v>2026</v>
      </c>
      <c r="C404">
        <v>6</v>
      </c>
      <c r="D404" t="s">
        <v>50</v>
      </c>
      <c r="E404" t="s">
        <v>41</v>
      </c>
      <c r="F404" t="s">
        <v>34</v>
      </c>
      <c r="G404" t="s">
        <v>31</v>
      </c>
      <c r="H404">
        <v>5</v>
      </c>
      <c r="I404">
        <v>6000</v>
      </c>
    </row>
    <row r="405" spans="1:9" x14ac:dyDescent="0.3">
      <c r="A405" s="1">
        <v>46183</v>
      </c>
      <c r="B405">
        <v>2026</v>
      </c>
      <c r="C405">
        <v>6</v>
      </c>
      <c r="D405" t="s">
        <v>46</v>
      </c>
      <c r="E405" t="s">
        <v>47</v>
      </c>
      <c r="F405" t="s">
        <v>34</v>
      </c>
      <c r="G405" t="s">
        <v>31</v>
      </c>
      <c r="H405">
        <v>3</v>
      </c>
      <c r="I405">
        <v>3600</v>
      </c>
    </row>
    <row r="406" spans="1:9" x14ac:dyDescent="0.3">
      <c r="A406" s="1">
        <v>46241</v>
      </c>
      <c r="B406">
        <v>2026</v>
      </c>
      <c r="C406">
        <v>8</v>
      </c>
      <c r="D406" t="s">
        <v>46</v>
      </c>
      <c r="E406" t="s">
        <v>47</v>
      </c>
      <c r="F406" t="s">
        <v>34</v>
      </c>
      <c r="G406" t="s">
        <v>31</v>
      </c>
      <c r="H406">
        <v>3</v>
      </c>
      <c r="I406">
        <v>3600</v>
      </c>
    </row>
    <row r="407" spans="1:9" x14ac:dyDescent="0.3">
      <c r="A407" s="1">
        <v>46142</v>
      </c>
      <c r="B407">
        <v>2026</v>
      </c>
      <c r="C407">
        <v>4</v>
      </c>
      <c r="D407" t="s">
        <v>50</v>
      </c>
      <c r="E407" t="s">
        <v>41</v>
      </c>
      <c r="F407" t="s">
        <v>34</v>
      </c>
      <c r="G407" t="s">
        <v>31</v>
      </c>
      <c r="H407">
        <v>2</v>
      </c>
      <c r="I407">
        <v>2400</v>
      </c>
    </row>
    <row r="408" spans="1:9" x14ac:dyDescent="0.3">
      <c r="A408" s="1">
        <v>46040</v>
      </c>
      <c r="B408">
        <v>2026</v>
      </c>
      <c r="C408">
        <v>1</v>
      </c>
      <c r="D408" t="s">
        <v>44</v>
      </c>
      <c r="E408" t="s">
        <v>45</v>
      </c>
      <c r="F408" t="s">
        <v>34</v>
      </c>
      <c r="G408" t="s">
        <v>31</v>
      </c>
      <c r="H408">
        <v>5</v>
      </c>
      <c r="I408">
        <v>6000</v>
      </c>
    </row>
    <row r="409" spans="1:9" x14ac:dyDescent="0.3">
      <c r="A409" s="1">
        <v>46206</v>
      </c>
      <c r="B409">
        <v>2026</v>
      </c>
      <c r="C409">
        <v>7</v>
      </c>
      <c r="D409" t="s">
        <v>51</v>
      </c>
      <c r="E409" t="s">
        <v>45</v>
      </c>
      <c r="F409" t="s">
        <v>34</v>
      </c>
      <c r="G409" t="s">
        <v>31</v>
      </c>
      <c r="H409">
        <v>1</v>
      </c>
      <c r="I409">
        <v>1200</v>
      </c>
    </row>
    <row r="410" spans="1:9" x14ac:dyDescent="0.3">
      <c r="A410" s="1">
        <v>46075</v>
      </c>
      <c r="B410">
        <v>2026</v>
      </c>
      <c r="C410">
        <v>2</v>
      </c>
      <c r="D410" t="s">
        <v>50</v>
      </c>
      <c r="E410" t="s">
        <v>41</v>
      </c>
      <c r="F410" t="s">
        <v>34</v>
      </c>
      <c r="G410" t="s">
        <v>31</v>
      </c>
      <c r="H410">
        <v>4</v>
      </c>
      <c r="I410">
        <v>4800</v>
      </c>
    </row>
    <row r="411" spans="1:9" x14ac:dyDescent="0.3">
      <c r="A411" s="1">
        <v>46054</v>
      </c>
      <c r="B411">
        <v>2026</v>
      </c>
      <c r="C411">
        <v>2</v>
      </c>
      <c r="D411" t="s">
        <v>48</v>
      </c>
      <c r="E411" t="s">
        <v>43</v>
      </c>
      <c r="F411" t="s">
        <v>34</v>
      </c>
      <c r="G411" t="s">
        <v>31</v>
      </c>
      <c r="H411">
        <v>1</v>
      </c>
      <c r="I411">
        <v>1200</v>
      </c>
    </row>
    <row r="412" spans="1:9" x14ac:dyDescent="0.3">
      <c r="A412" s="1">
        <v>46279</v>
      </c>
      <c r="B412">
        <v>2026</v>
      </c>
      <c r="C412">
        <v>9</v>
      </c>
      <c r="D412" t="s">
        <v>48</v>
      </c>
      <c r="E412" t="s">
        <v>43</v>
      </c>
      <c r="F412" t="s">
        <v>34</v>
      </c>
      <c r="G412" t="s">
        <v>31</v>
      </c>
      <c r="H412">
        <v>3</v>
      </c>
      <c r="I412">
        <v>3600</v>
      </c>
    </row>
    <row r="413" spans="1:9" x14ac:dyDescent="0.3">
      <c r="A413" s="1">
        <v>46074</v>
      </c>
      <c r="B413">
        <v>2026</v>
      </c>
      <c r="C413">
        <v>2</v>
      </c>
      <c r="D413" t="s">
        <v>51</v>
      </c>
      <c r="E413" t="s">
        <v>45</v>
      </c>
      <c r="F413" t="s">
        <v>34</v>
      </c>
      <c r="G413" t="s">
        <v>31</v>
      </c>
      <c r="H413">
        <v>4</v>
      </c>
      <c r="I413">
        <v>4800</v>
      </c>
    </row>
    <row r="414" spans="1:9" x14ac:dyDescent="0.3">
      <c r="A414" s="1">
        <v>46277</v>
      </c>
      <c r="B414">
        <v>2026</v>
      </c>
      <c r="C414">
        <v>9</v>
      </c>
      <c r="D414" t="s">
        <v>46</v>
      </c>
      <c r="E414" t="s">
        <v>47</v>
      </c>
      <c r="F414" t="s">
        <v>34</v>
      </c>
      <c r="G414" t="s">
        <v>31</v>
      </c>
      <c r="H414">
        <v>5</v>
      </c>
      <c r="I414">
        <v>6000</v>
      </c>
    </row>
    <row r="415" spans="1:9" x14ac:dyDescent="0.3">
      <c r="A415" s="1">
        <v>46292</v>
      </c>
      <c r="B415">
        <v>2026</v>
      </c>
      <c r="C415">
        <v>9</v>
      </c>
      <c r="D415" t="s">
        <v>46</v>
      </c>
      <c r="E415" t="s">
        <v>47</v>
      </c>
      <c r="F415" t="s">
        <v>34</v>
      </c>
      <c r="G415" t="s">
        <v>31</v>
      </c>
      <c r="H415">
        <v>5</v>
      </c>
      <c r="I415">
        <v>6000</v>
      </c>
    </row>
    <row r="416" spans="1:9" x14ac:dyDescent="0.3">
      <c r="A416" s="1">
        <v>46063</v>
      </c>
      <c r="B416">
        <v>2026</v>
      </c>
      <c r="C416">
        <v>2</v>
      </c>
      <c r="D416" t="s">
        <v>50</v>
      </c>
      <c r="E416" t="s">
        <v>41</v>
      </c>
      <c r="F416" t="s">
        <v>34</v>
      </c>
      <c r="G416" t="s">
        <v>31</v>
      </c>
      <c r="H416">
        <v>4</v>
      </c>
      <c r="I416">
        <v>4800</v>
      </c>
    </row>
    <row r="417" spans="1:9" x14ac:dyDescent="0.3">
      <c r="A417" s="1">
        <v>46085</v>
      </c>
      <c r="B417">
        <v>2026</v>
      </c>
      <c r="C417">
        <v>3</v>
      </c>
      <c r="D417" t="s">
        <v>42</v>
      </c>
      <c r="E417" t="s">
        <v>43</v>
      </c>
      <c r="F417" t="s">
        <v>34</v>
      </c>
      <c r="G417" t="s">
        <v>31</v>
      </c>
      <c r="H417">
        <v>2</v>
      </c>
      <c r="I417">
        <v>2400</v>
      </c>
    </row>
    <row r="418" spans="1:9" x14ac:dyDescent="0.3">
      <c r="A418" s="1">
        <v>46222</v>
      </c>
      <c r="B418">
        <v>2026</v>
      </c>
      <c r="C418">
        <v>7</v>
      </c>
      <c r="D418" t="s">
        <v>42</v>
      </c>
      <c r="E418" t="s">
        <v>43</v>
      </c>
      <c r="F418" t="s">
        <v>34</v>
      </c>
      <c r="G418" t="s">
        <v>31</v>
      </c>
      <c r="H418">
        <v>1</v>
      </c>
      <c r="I418">
        <v>1200</v>
      </c>
    </row>
    <row r="419" spans="1:9" x14ac:dyDescent="0.3">
      <c r="A419" s="1">
        <v>46208</v>
      </c>
      <c r="B419">
        <v>2026</v>
      </c>
      <c r="C419">
        <v>7</v>
      </c>
      <c r="D419" t="s">
        <v>40</v>
      </c>
      <c r="E419" t="s">
        <v>41</v>
      </c>
      <c r="F419" t="s">
        <v>34</v>
      </c>
      <c r="G419" t="s">
        <v>31</v>
      </c>
      <c r="H419">
        <v>3</v>
      </c>
      <c r="I419">
        <v>3600</v>
      </c>
    </row>
    <row r="420" spans="1:9" x14ac:dyDescent="0.3">
      <c r="A420" s="1">
        <v>46097</v>
      </c>
      <c r="B420">
        <v>2026</v>
      </c>
      <c r="C420">
        <v>3</v>
      </c>
      <c r="D420" t="s">
        <v>49</v>
      </c>
      <c r="E420" t="s">
        <v>47</v>
      </c>
      <c r="F420" t="s">
        <v>34</v>
      </c>
      <c r="G420" t="s">
        <v>31</v>
      </c>
      <c r="H420">
        <v>1</v>
      </c>
      <c r="I420">
        <v>1200</v>
      </c>
    </row>
    <row r="421" spans="1:9" x14ac:dyDescent="0.3">
      <c r="A421" s="1">
        <v>46269</v>
      </c>
      <c r="B421">
        <v>2026</v>
      </c>
      <c r="C421">
        <v>9</v>
      </c>
      <c r="D421" t="s">
        <v>51</v>
      </c>
      <c r="E421" t="s">
        <v>45</v>
      </c>
      <c r="F421" t="s">
        <v>34</v>
      </c>
      <c r="G421" t="s">
        <v>31</v>
      </c>
      <c r="H421">
        <v>2</v>
      </c>
      <c r="I421">
        <v>2400</v>
      </c>
    </row>
    <row r="422" spans="1:9" x14ac:dyDescent="0.3">
      <c r="A422" s="1">
        <v>46222</v>
      </c>
      <c r="B422">
        <v>2026</v>
      </c>
      <c r="C422">
        <v>7</v>
      </c>
      <c r="D422" t="s">
        <v>50</v>
      </c>
      <c r="E422" t="s">
        <v>41</v>
      </c>
      <c r="F422" t="s">
        <v>34</v>
      </c>
      <c r="G422" t="s">
        <v>31</v>
      </c>
      <c r="H422">
        <v>4</v>
      </c>
      <c r="I422">
        <v>4800</v>
      </c>
    </row>
    <row r="423" spans="1:9" x14ac:dyDescent="0.3">
      <c r="A423" s="1">
        <v>46257</v>
      </c>
      <c r="B423">
        <v>2026</v>
      </c>
      <c r="C423">
        <v>8</v>
      </c>
      <c r="D423" t="s">
        <v>42</v>
      </c>
      <c r="E423" t="s">
        <v>43</v>
      </c>
      <c r="F423" t="s">
        <v>34</v>
      </c>
      <c r="G423" t="s">
        <v>31</v>
      </c>
      <c r="H423">
        <v>5</v>
      </c>
      <c r="I423">
        <v>6000</v>
      </c>
    </row>
    <row r="424" spans="1:9" x14ac:dyDescent="0.3">
      <c r="A424" s="1">
        <v>46136</v>
      </c>
      <c r="B424">
        <v>2026</v>
      </c>
      <c r="C424">
        <v>4</v>
      </c>
      <c r="D424" t="s">
        <v>48</v>
      </c>
      <c r="E424" t="s">
        <v>43</v>
      </c>
      <c r="F424" t="s">
        <v>34</v>
      </c>
      <c r="G424" t="s">
        <v>31</v>
      </c>
      <c r="H424">
        <v>1</v>
      </c>
      <c r="I424">
        <v>1200</v>
      </c>
    </row>
    <row r="425" spans="1:9" x14ac:dyDescent="0.3">
      <c r="A425" s="1">
        <v>46247</v>
      </c>
      <c r="B425">
        <v>2026</v>
      </c>
      <c r="C425">
        <v>8</v>
      </c>
      <c r="D425" t="s">
        <v>50</v>
      </c>
      <c r="E425" t="s">
        <v>41</v>
      </c>
      <c r="F425" t="s">
        <v>34</v>
      </c>
      <c r="G425" t="s">
        <v>31</v>
      </c>
      <c r="H425">
        <v>2</v>
      </c>
      <c r="I425">
        <v>2400</v>
      </c>
    </row>
    <row r="426" spans="1:9" x14ac:dyDescent="0.3">
      <c r="A426" s="1">
        <v>46298</v>
      </c>
      <c r="B426">
        <v>2026</v>
      </c>
      <c r="C426">
        <v>10</v>
      </c>
      <c r="D426" t="s">
        <v>40</v>
      </c>
      <c r="E426" t="s">
        <v>41</v>
      </c>
      <c r="F426" t="s">
        <v>34</v>
      </c>
      <c r="G426" t="s">
        <v>31</v>
      </c>
      <c r="H426">
        <v>1</v>
      </c>
      <c r="I426">
        <v>1200</v>
      </c>
    </row>
    <row r="427" spans="1:9" x14ac:dyDescent="0.3">
      <c r="A427" s="1">
        <v>46268</v>
      </c>
      <c r="B427">
        <v>2026</v>
      </c>
      <c r="C427">
        <v>9</v>
      </c>
      <c r="D427" t="s">
        <v>50</v>
      </c>
      <c r="E427" t="s">
        <v>41</v>
      </c>
      <c r="F427" t="s">
        <v>34</v>
      </c>
      <c r="G427" t="s">
        <v>31</v>
      </c>
      <c r="H427">
        <v>4</v>
      </c>
      <c r="I427">
        <v>4800</v>
      </c>
    </row>
    <row r="428" spans="1:9" x14ac:dyDescent="0.3">
      <c r="A428" s="1">
        <v>46048</v>
      </c>
      <c r="B428">
        <v>2026</v>
      </c>
      <c r="C428">
        <v>1</v>
      </c>
      <c r="D428" t="s">
        <v>42</v>
      </c>
      <c r="E428" t="s">
        <v>43</v>
      </c>
      <c r="F428" t="s">
        <v>34</v>
      </c>
      <c r="G428" t="s">
        <v>31</v>
      </c>
      <c r="H428">
        <v>1</v>
      </c>
      <c r="I428">
        <v>1200</v>
      </c>
    </row>
    <row r="429" spans="1:9" x14ac:dyDescent="0.3">
      <c r="A429" s="1">
        <v>46215</v>
      </c>
      <c r="B429">
        <v>2026</v>
      </c>
      <c r="C429">
        <v>7</v>
      </c>
      <c r="D429" t="s">
        <v>50</v>
      </c>
      <c r="E429" t="s">
        <v>41</v>
      </c>
      <c r="F429" t="s">
        <v>34</v>
      </c>
      <c r="G429" t="s">
        <v>31</v>
      </c>
      <c r="H429">
        <v>3</v>
      </c>
      <c r="I429">
        <v>3600</v>
      </c>
    </row>
    <row r="430" spans="1:9" x14ac:dyDescent="0.3">
      <c r="A430" s="1">
        <v>46189</v>
      </c>
      <c r="B430">
        <v>2026</v>
      </c>
      <c r="C430">
        <v>6</v>
      </c>
      <c r="D430" t="s">
        <v>49</v>
      </c>
      <c r="E430" t="s">
        <v>47</v>
      </c>
      <c r="F430" t="s">
        <v>34</v>
      </c>
      <c r="G430" t="s">
        <v>31</v>
      </c>
      <c r="H430">
        <v>2</v>
      </c>
      <c r="I430">
        <v>2400</v>
      </c>
    </row>
    <row r="431" spans="1:9" x14ac:dyDescent="0.3">
      <c r="A431" s="1">
        <v>46174</v>
      </c>
      <c r="B431">
        <v>2026</v>
      </c>
      <c r="C431">
        <v>6</v>
      </c>
      <c r="D431" t="s">
        <v>40</v>
      </c>
      <c r="E431" t="s">
        <v>41</v>
      </c>
      <c r="F431" t="s">
        <v>34</v>
      </c>
      <c r="G431" t="s">
        <v>31</v>
      </c>
      <c r="H431">
        <v>3</v>
      </c>
      <c r="I431">
        <v>3600</v>
      </c>
    </row>
    <row r="432" spans="1:9" x14ac:dyDescent="0.3">
      <c r="A432" s="1">
        <v>46051</v>
      </c>
      <c r="B432">
        <v>2026</v>
      </c>
      <c r="C432">
        <v>1</v>
      </c>
      <c r="D432" t="s">
        <v>44</v>
      </c>
      <c r="E432" t="s">
        <v>45</v>
      </c>
      <c r="F432" t="s">
        <v>34</v>
      </c>
      <c r="G432" t="s">
        <v>31</v>
      </c>
      <c r="H432">
        <v>5</v>
      </c>
      <c r="I432">
        <v>6000</v>
      </c>
    </row>
    <row r="433" spans="1:9" x14ac:dyDescent="0.3">
      <c r="A433" s="1">
        <v>46286</v>
      </c>
      <c r="B433">
        <v>2026</v>
      </c>
      <c r="C433">
        <v>9</v>
      </c>
      <c r="D433" t="s">
        <v>46</v>
      </c>
      <c r="E433" t="s">
        <v>47</v>
      </c>
      <c r="F433" t="s">
        <v>34</v>
      </c>
      <c r="G433" t="s">
        <v>31</v>
      </c>
      <c r="H433">
        <v>4</v>
      </c>
      <c r="I433">
        <v>4800</v>
      </c>
    </row>
    <row r="434" spans="1:9" x14ac:dyDescent="0.3">
      <c r="A434" s="1">
        <v>46279</v>
      </c>
      <c r="B434">
        <v>2026</v>
      </c>
      <c r="C434">
        <v>9</v>
      </c>
      <c r="D434" t="s">
        <v>49</v>
      </c>
      <c r="E434" t="s">
        <v>47</v>
      </c>
      <c r="F434" t="s">
        <v>34</v>
      </c>
      <c r="G434" t="s">
        <v>31</v>
      </c>
      <c r="H434">
        <v>1</v>
      </c>
      <c r="I434">
        <v>1200</v>
      </c>
    </row>
    <row r="435" spans="1:9" x14ac:dyDescent="0.3">
      <c r="A435" s="1">
        <v>46193</v>
      </c>
      <c r="B435">
        <v>2026</v>
      </c>
      <c r="C435">
        <v>6</v>
      </c>
      <c r="D435" t="s">
        <v>40</v>
      </c>
      <c r="E435" t="s">
        <v>41</v>
      </c>
      <c r="F435" t="s">
        <v>34</v>
      </c>
      <c r="G435" t="s">
        <v>31</v>
      </c>
      <c r="H435">
        <v>5</v>
      </c>
      <c r="I435">
        <v>6000</v>
      </c>
    </row>
    <row r="436" spans="1:9" x14ac:dyDescent="0.3">
      <c r="A436" s="1">
        <v>46176</v>
      </c>
      <c r="B436">
        <v>2026</v>
      </c>
      <c r="C436">
        <v>6</v>
      </c>
      <c r="D436" t="s">
        <v>44</v>
      </c>
      <c r="E436" t="s">
        <v>45</v>
      </c>
      <c r="F436" t="s">
        <v>34</v>
      </c>
      <c r="G436" t="s">
        <v>31</v>
      </c>
      <c r="H436">
        <v>5</v>
      </c>
      <c r="I436">
        <v>6000</v>
      </c>
    </row>
    <row r="437" spans="1:9" x14ac:dyDescent="0.3">
      <c r="A437" s="1">
        <v>46300</v>
      </c>
      <c r="B437">
        <v>2026</v>
      </c>
      <c r="C437">
        <v>10</v>
      </c>
      <c r="D437" t="s">
        <v>44</v>
      </c>
      <c r="E437" t="s">
        <v>45</v>
      </c>
      <c r="F437" t="s">
        <v>34</v>
      </c>
      <c r="G437" t="s">
        <v>31</v>
      </c>
      <c r="H437">
        <v>3</v>
      </c>
      <c r="I437">
        <v>3600</v>
      </c>
    </row>
    <row r="438" spans="1:9" x14ac:dyDescent="0.3">
      <c r="A438" s="1">
        <v>46186</v>
      </c>
      <c r="B438">
        <v>2026</v>
      </c>
      <c r="C438">
        <v>6</v>
      </c>
      <c r="D438" t="s">
        <v>46</v>
      </c>
      <c r="E438" t="s">
        <v>47</v>
      </c>
      <c r="F438" t="s">
        <v>34</v>
      </c>
      <c r="G438" t="s">
        <v>31</v>
      </c>
      <c r="H438">
        <v>4</v>
      </c>
      <c r="I438">
        <v>4800</v>
      </c>
    </row>
    <row r="439" spans="1:9" x14ac:dyDescent="0.3">
      <c r="A439" s="1">
        <v>46103</v>
      </c>
      <c r="B439">
        <v>2026</v>
      </c>
      <c r="C439">
        <v>3</v>
      </c>
      <c r="D439" t="s">
        <v>49</v>
      </c>
      <c r="E439" t="s">
        <v>47</v>
      </c>
      <c r="F439" t="s">
        <v>34</v>
      </c>
      <c r="G439" t="s">
        <v>31</v>
      </c>
      <c r="H439">
        <v>3</v>
      </c>
      <c r="I439">
        <v>3600</v>
      </c>
    </row>
    <row r="440" spans="1:9" x14ac:dyDescent="0.3">
      <c r="A440" s="1">
        <v>46260</v>
      </c>
      <c r="B440">
        <v>2026</v>
      </c>
      <c r="C440">
        <v>8</v>
      </c>
      <c r="D440" t="s">
        <v>40</v>
      </c>
      <c r="E440" t="s">
        <v>41</v>
      </c>
      <c r="F440" t="s">
        <v>34</v>
      </c>
      <c r="G440" t="s">
        <v>31</v>
      </c>
      <c r="H440">
        <v>4</v>
      </c>
      <c r="I440">
        <v>4800</v>
      </c>
    </row>
    <row r="441" spans="1:9" x14ac:dyDescent="0.3">
      <c r="A441" s="1">
        <v>46066</v>
      </c>
      <c r="B441">
        <v>2026</v>
      </c>
      <c r="C441">
        <v>2</v>
      </c>
      <c r="D441" t="s">
        <v>40</v>
      </c>
      <c r="E441" t="s">
        <v>41</v>
      </c>
      <c r="F441" t="s">
        <v>34</v>
      </c>
      <c r="G441" t="s">
        <v>31</v>
      </c>
      <c r="H441">
        <v>5</v>
      </c>
      <c r="I441">
        <v>6000</v>
      </c>
    </row>
    <row r="442" spans="1:9" x14ac:dyDescent="0.3">
      <c r="A442" s="1">
        <v>46273</v>
      </c>
      <c r="B442">
        <v>2026</v>
      </c>
      <c r="C442">
        <v>9</v>
      </c>
      <c r="D442" t="s">
        <v>46</v>
      </c>
      <c r="E442" t="s">
        <v>47</v>
      </c>
      <c r="F442" t="s">
        <v>34</v>
      </c>
      <c r="G442" t="s">
        <v>31</v>
      </c>
      <c r="H442">
        <v>1</v>
      </c>
      <c r="I442">
        <v>1200</v>
      </c>
    </row>
    <row r="443" spans="1:9" x14ac:dyDescent="0.3">
      <c r="A443" s="1">
        <v>46288</v>
      </c>
      <c r="B443">
        <v>2026</v>
      </c>
      <c r="C443">
        <v>9</v>
      </c>
      <c r="D443" t="s">
        <v>51</v>
      </c>
      <c r="E443" t="s">
        <v>45</v>
      </c>
      <c r="F443" t="s">
        <v>34</v>
      </c>
      <c r="G443" t="s">
        <v>31</v>
      </c>
      <c r="H443">
        <v>1</v>
      </c>
      <c r="I443">
        <v>1200</v>
      </c>
    </row>
    <row r="444" spans="1:9" x14ac:dyDescent="0.3">
      <c r="A444" s="1">
        <v>46236</v>
      </c>
      <c r="B444">
        <v>2026</v>
      </c>
      <c r="C444">
        <v>8</v>
      </c>
      <c r="D444" t="s">
        <v>46</v>
      </c>
      <c r="E444" t="s">
        <v>47</v>
      </c>
      <c r="F444" t="s">
        <v>34</v>
      </c>
      <c r="G444" t="s">
        <v>31</v>
      </c>
      <c r="H444">
        <v>2</v>
      </c>
      <c r="I444">
        <v>2400</v>
      </c>
    </row>
    <row r="445" spans="1:9" x14ac:dyDescent="0.3">
      <c r="A445" s="1">
        <v>46311</v>
      </c>
      <c r="B445">
        <v>2026</v>
      </c>
      <c r="C445">
        <v>10</v>
      </c>
      <c r="D445" t="s">
        <v>42</v>
      </c>
      <c r="E445" t="s">
        <v>43</v>
      </c>
      <c r="F445" t="s">
        <v>34</v>
      </c>
      <c r="G445" t="s">
        <v>31</v>
      </c>
      <c r="H445">
        <v>5</v>
      </c>
      <c r="I445">
        <v>6000</v>
      </c>
    </row>
    <row r="446" spans="1:9" x14ac:dyDescent="0.3">
      <c r="A446" s="1">
        <v>46321</v>
      </c>
      <c r="B446">
        <v>2026</v>
      </c>
      <c r="C446">
        <v>10</v>
      </c>
      <c r="D446" t="s">
        <v>49</v>
      </c>
      <c r="E446" t="s">
        <v>47</v>
      </c>
      <c r="F446" t="s">
        <v>34</v>
      </c>
      <c r="G446" t="s">
        <v>31</v>
      </c>
      <c r="H446">
        <v>5</v>
      </c>
      <c r="I446">
        <v>6000</v>
      </c>
    </row>
    <row r="447" spans="1:9" x14ac:dyDescent="0.3">
      <c r="A447" s="1">
        <v>46190</v>
      </c>
      <c r="B447">
        <v>2026</v>
      </c>
      <c r="C447">
        <v>6</v>
      </c>
      <c r="D447" t="s">
        <v>50</v>
      </c>
      <c r="E447" t="s">
        <v>41</v>
      </c>
      <c r="F447" t="s">
        <v>34</v>
      </c>
      <c r="G447" t="s">
        <v>31</v>
      </c>
      <c r="H447">
        <v>3</v>
      </c>
      <c r="I447">
        <v>3600</v>
      </c>
    </row>
    <row r="448" spans="1:9" x14ac:dyDescent="0.3">
      <c r="A448" s="1">
        <v>46201</v>
      </c>
      <c r="B448">
        <v>2026</v>
      </c>
      <c r="C448">
        <v>6</v>
      </c>
      <c r="D448" t="s">
        <v>42</v>
      </c>
      <c r="E448" t="s">
        <v>43</v>
      </c>
      <c r="F448" t="s">
        <v>34</v>
      </c>
      <c r="G448" t="s">
        <v>31</v>
      </c>
      <c r="H448">
        <v>1</v>
      </c>
      <c r="I448">
        <v>1200</v>
      </c>
    </row>
    <row r="449" spans="1:9" x14ac:dyDescent="0.3">
      <c r="A449" s="1">
        <v>46208</v>
      </c>
      <c r="B449">
        <v>2026</v>
      </c>
      <c r="C449">
        <v>7</v>
      </c>
      <c r="D449" t="s">
        <v>49</v>
      </c>
      <c r="E449" t="s">
        <v>47</v>
      </c>
      <c r="F449" t="s">
        <v>34</v>
      </c>
      <c r="G449" t="s">
        <v>31</v>
      </c>
      <c r="H449">
        <v>3</v>
      </c>
      <c r="I449">
        <v>3600</v>
      </c>
    </row>
    <row r="450" spans="1:9" x14ac:dyDescent="0.3">
      <c r="A450" s="1">
        <v>46301</v>
      </c>
      <c r="B450">
        <v>2026</v>
      </c>
      <c r="C450">
        <v>10</v>
      </c>
      <c r="D450" t="s">
        <v>50</v>
      </c>
      <c r="E450" t="s">
        <v>41</v>
      </c>
      <c r="F450" t="s">
        <v>34</v>
      </c>
      <c r="G450" t="s">
        <v>31</v>
      </c>
      <c r="H450">
        <v>4</v>
      </c>
      <c r="I450">
        <v>4800</v>
      </c>
    </row>
    <row r="451" spans="1:9" x14ac:dyDescent="0.3">
      <c r="A451" s="1">
        <v>46095</v>
      </c>
      <c r="B451">
        <v>2026</v>
      </c>
      <c r="C451">
        <v>3</v>
      </c>
      <c r="D451" t="s">
        <v>49</v>
      </c>
      <c r="E451" t="s">
        <v>47</v>
      </c>
      <c r="F451" t="s">
        <v>34</v>
      </c>
      <c r="G451" t="s">
        <v>31</v>
      </c>
      <c r="H451">
        <v>2</v>
      </c>
      <c r="I451">
        <v>2400</v>
      </c>
    </row>
    <row r="452" spans="1:9" x14ac:dyDescent="0.3">
      <c r="A452" s="1">
        <v>46218</v>
      </c>
      <c r="B452">
        <v>2026</v>
      </c>
      <c r="C452">
        <v>7</v>
      </c>
      <c r="D452" t="s">
        <v>42</v>
      </c>
      <c r="E452" t="s">
        <v>43</v>
      </c>
      <c r="F452" t="s">
        <v>34</v>
      </c>
      <c r="G452" t="s">
        <v>31</v>
      </c>
      <c r="H452">
        <v>2</v>
      </c>
      <c r="I452">
        <v>2400</v>
      </c>
    </row>
    <row r="453" spans="1:9" x14ac:dyDescent="0.3">
      <c r="A453" s="1">
        <v>46156</v>
      </c>
      <c r="B453">
        <v>2026</v>
      </c>
      <c r="C453">
        <v>5</v>
      </c>
      <c r="D453" t="s">
        <v>50</v>
      </c>
      <c r="E453" t="s">
        <v>41</v>
      </c>
      <c r="F453" t="s">
        <v>34</v>
      </c>
      <c r="G453" t="s">
        <v>31</v>
      </c>
      <c r="H453">
        <v>2</v>
      </c>
      <c r="I453">
        <v>2400</v>
      </c>
    </row>
    <row r="454" spans="1:9" x14ac:dyDescent="0.3">
      <c r="A454" s="1">
        <v>46316</v>
      </c>
      <c r="B454">
        <v>2026</v>
      </c>
      <c r="C454">
        <v>10</v>
      </c>
      <c r="D454" t="s">
        <v>49</v>
      </c>
      <c r="E454" t="s">
        <v>47</v>
      </c>
      <c r="F454" t="s">
        <v>34</v>
      </c>
      <c r="G454" t="s">
        <v>31</v>
      </c>
      <c r="H454">
        <v>3</v>
      </c>
      <c r="I454">
        <v>3600</v>
      </c>
    </row>
    <row r="455" spans="1:9" x14ac:dyDescent="0.3">
      <c r="A455" s="1">
        <v>46275</v>
      </c>
      <c r="B455">
        <v>2026</v>
      </c>
      <c r="C455">
        <v>9</v>
      </c>
      <c r="D455" t="s">
        <v>50</v>
      </c>
      <c r="E455" t="s">
        <v>41</v>
      </c>
      <c r="F455" t="s">
        <v>34</v>
      </c>
      <c r="G455" t="s">
        <v>31</v>
      </c>
      <c r="H455">
        <v>1</v>
      </c>
      <c r="I455">
        <v>1200</v>
      </c>
    </row>
    <row r="456" spans="1:9" x14ac:dyDescent="0.3">
      <c r="A456" s="1">
        <v>46173</v>
      </c>
      <c r="B456">
        <v>2026</v>
      </c>
      <c r="C456">
        <v>5</v>
      </c>
      <c r="D456" t="s">
        <v>51</v>
      </c>
      <c r="E456" t="s">
        <v>45</v>
      </c>
      <c r="F456" t="s">
        <v>34</v>
      </c>
      <c r="G456" t="s">
        <v>31</v>
      </c>
      <c r="H456">
        <v>2</v>
      </c>
      <c r="I456">
        <v>2400</v>
      </c>
    </row>
    <row r="457" spans="1:9" x14ac:dyDescent="0.3">
      <c r="A457" s="1">
        <v>46255</v>
      </c>
      <c r="B457">
        <v>2026</v>
      </c>
      <c r="C457">
        <v>8</v>
      </c>
      <c r="D457" t="s">
        <v>42</v>
      </c>
      <c r="E457" t="s">
        <v>43</v>
      </c>
      <c r="F457" t="s">
        <v>34</v>
      </c>
      <c r="G457" t="s">
        <v>31</v>
      </c>
      <c r="H457">
        <v>4</v>
      </c>
      <c r="I457">
        <v>4800</v>
      </c>
    </row>
    <row r="458" spans="1:9" x14ac:dyDescent="0.3">
      <c r="A458" s="1">
        <v>46259</v>
      </c>
      <c r="B458">
        <v>2026</v>
      </c>
      <c r="C458">
        <v>8</v>
      </c>
      <c r="D458" t="s">
        <v>46</v>
      </c>
      <c r="E458" t="s">
        <v>47</v>
      </c>
      <c r="F458" t="s">
        <v>34</v>
      </c>
      <c r="G458" t="s">
        <v>31</v>
      </c>
      <c r="H458">
        <v>5</v>
      </c>
      <c r="I458">
        <v>6000</v>
      </c>
    </row>
    <row r="459" spans="1:9" x14ac:dyDescent="0.3">
      <c r="A459" s="1">
        <v>46069</v>
      </c>
      <c r="B459">
        <v>2026</v>
      </c>
      <c r="C459">
        <v>2</v>
      </c>
      <c r="D459" t="s">
        <v>42</v>
      </c>
      <c r="E459" t="s">
        <v>43</v>
      </c>
      <c r="F459" t="s">
        <v>34</v>
      </c>
      <c r="G459" t="s">
        <v>31</v>
      </c>
      <c r="H459">
        <v>1</v>
      </c>
      <c r="I459">
        <v>1200</v>
      </c>
    </row>
    <row r="460" spans="1:9" x14ac:dyDescent="0.3">
      <c r="A460" s="1">
        <v>46089</v>
      </c>
      <c r="B460">
        <v>2026</v>
      </c>
      <c r="C460">
        <v>3</v>
      </c>
      <c r="D460" t="s">
        <v>51</v>
      </c>
      <c r="E460" t="s">
        <v>45</v>
      </c>
      <c r="F460" t="s">
        <v>34</v>
      </c>
      <c r="G460" t="s">
        <v>31</v>
      </c>
      <c r="H460">
        <v>3</v>
      </c>
      <c r="I460">
        <v>3600</v>
      </c>
    </row>
    <row r="461" spans="1:9" x14ac:dyDescent="0.3">
      <c r="A461" s="1">
        <v>46057</v>
      </c>
      <c r="B461">
        <v>2026</v>
      </c>
      <c r="C461">
        <v>2</v>
      </c>
      <c r="D461" t="s">
        <v>49</v>
      </c>
      <c r="E461" t="s">
        <v>47</v>
      </c>
      <c r="F461" t="s">
        <v>34</v>
      </c>
      <c r="G461" t="s">
        <v>31</v>
      </c>
      <c r="H461">
        <v>3</v>
      </c>
      <c r="I461">
        <v>3600</v>
      </c>
    </row>
    <row r="462" spans="1:9" x14ac:dyDescent="0.3">
      <c r="A462" s="1">
        <v>46224</v>
      </c>
      <c r="B462">
        <v>2026</v>
      </c>
      <c r="C462">
        <v>7</v>
      </c>
      <c r="D462" t="s">
        <v>42</v>
      </c>
      <c r="E462" t="s">
        <v>43</v>
      </c>
      <c r="F462" t="s">
        <v>34</v>
      </c>
      <c r="G462" t="s">
        <v>31</v>
      </c>
      <c r="H462">
        <v>2</v>
      </c>
      <c r="I462">
        <v>2400</v>
      </c>
    </row>
    <row r="463" spans="1:9" x14ac:dyDescent="0.3">
      <c r="A463" s="1">
        <v>46121</v>
      </c>
      <c r="B463">
        <v>2026</v>
      </c>
      <c r="C463">
        <v>4</v>
      </c>
      <c r="D463" t="s">
        <v>49</v>
      </c>
      <c r="E463" t="s">
        <v>47</v>
      </c>
      <c r="F463" t="s">
        <v>34</v>
      </c>
      <c r="G463" t="s">
        <v>31</v>
      </c>
      <c r="H463">
        <v>2</v>
      </c>
      <c r="I463">
        <v>2400</v>
      </c>
    </row>
    <row r="464" spans="1:9" x14ac:dyDescent="0.3">
      <c r="A464" s="1">
        <v>46275</v>
      </c>
      <c r="B464">
        <v>2026</v>
      </c>
      <c r="C464">
        <v>9</v>
      </c>
      <c r="D464" t="s">
        <v>48</v>
      </c>
      <c r="E464" t="s">
        <v>43</v>
      </c>
      <c r="F464" t="s">
        <v>34</v>
      </c>
      <c r="G464" t="s">
        <v>31</v>
      </c>
      <c r="H464">
        <v>4</v>
      </c>
      <c r="I464">
        <v>4800</v>
      </c>
    </row>
    <row r="465" spans="1:9" x14ac:dyDescent="0.3">
      <c r="A465" s="1">
        <v>46311</v>
      </c>
      <c r="B465">
        <v>2026</v>
      </c>
      <c r="C465">
        <v>10</v>
      </c>
      <c r="D465" t="s">
        <v>40</v>
      </c>
      <c r="E465" t="s">
        <v>41</v>
      </c>
      <c r="F465" t="s">
        <v>34</v>
      </c>
      <c r="G465" t="s">
        <v>31</v>
      </c>
      <c r="H465">
        <v>5</v>
      </c>
      <c r="I465">
        <v>6000</v>
      </c>
    </row>
    <row r="466" spans="1:9" x14ac:dyDescent="0.3">
      <c r="A466" s="1">
        <v>46224</v>
      </c>
      <c r="B466">
        <v>2026</v>
      </c>
      <c r="C466">
        <v>7</v>
      </c>
      <c r="D466" t="s">
        <v>50</v>
      </c>
      <c r="E466" t="s">
        <v>41</v>
      </c>
      <c r="F466" t="s">
        <v>34</v>
      </c>
      <c r="G466" t="s">
        <v>31</v>
      </c>
      <c r="H466">
        <v>3</v>
      </c>
      <c r="I466">
        <v>3600</v>
      </c>
    </row>
    <row r="467" spans="1:9" x14ac:dyDescent="0.3">
      <c r="A467" s="1">
        <v>46162</v>
      </c>
      <c r="B467">
        <v>2026</v>
      </c>
      <c r="C467">
        <v>5</v>
      </c>
      <c r="D467" t="s">
        <v>40</v>
      </c>
      <c r="E467" t="s">
        <v>41</v>
      </c>
      <c r="F467" t="s">
        <v>34</v>
      </c>
      <c r="G467" t="s">
        <v>31</v>
      </c>
      <c r="H467">
        <v>4</v>
      </c>
      <c r="I467">
        <v>4800</v>
      </c>
    </row>
    <row r="468" spans="1:9" x14ac:dyDescent="0.3">
      <c r="A468" s="1">
        <v>46059</v>
      </c>
      <c r="B468">
        <v>2026</v>
      </c>
      <c r="C468">
        <v>2</v>
      </c>
      <c r="D468" t="s">
        <v>50</v>
      </c>
      <c r="E468" t="s">
        <v>41</v>
      </c>
      <c r="F468" t="s">
        <v>34</v>
      </c>
      <c r="G468" t="s">
        <v>31</v>
      </c>
      <c r="H468">
        <v>3</v>
      </c>
      <c r="I468">
        <v>3600</v>
      </c>
    </row>
    <row r="469" spans="1:9" x14ac:dyDescent="0.3">
      <c r="A469" s="1">
        <v>46053</v>
      </c>
      <c r="B469">
        <v>2026</v>
      </c>
      <c r="C469">
        <v>1</v>
      </c>
      <c r="D469" t="s">
        <v>49</v>
      </c>
      <c r="E469" t="s">
        <v>47</v>
      </c>
      <c r="F469" t="s">
        <v>34</v>
      </c>
      <c r="G469" t="s">
        <v>31</v>
      </c>
      <c r="H469">
        <v>3</v>
      </c>
      <c r="I469">
        <v>3600</v>
      </c>
    </row>
    <row r="470" spans="1:9" x14ac:dyDescent="0.3">
      <c r="A470" s="1">
        <v>46189</v>
      </c>
      <c r="B470">
        <v>2026</v>
      </c>
      <c r="C470">
        <v>6</v>
      </c>
      <c r="D470" t="s">
        <v>49</v>
      </c>
      <c r="E470" t="s">
        <v>47</v>
      </c>
      <c r="F470" t="s">
        <v>34</v>
      </c>
      <c r="G470" t="s">
        <v>31</v>
      </c>
      <c r="H470">
        <v>4</v>
      </c>
      <c r="I470">
        <v>4800</v>
      </c>
    </row>
    <row r="471" spans="1:9" x14ac:dyDescent="0.3">
      <c r="A471" s="1">
        <v>46035</v>
      </c>
      <c r="B471">
        <v>2026</v>
      </c>
      <c r="C471">
        <v>1</v>
      </c>
      <c r="D471" t="s">
        <v>44</v>
      </c>
      <c r="E471" t="s">
        <v>45</v>
      </c>
      <c r="F471" t="s">
        <v>34</v>
      </c>
      <c r="G471" t="s">
        <v>31</v>
      </c>
      <c r="H471">
        <v>5</v>
      </c>
      <c r="I471">
        <v>6000</v>
      </c>
    </row>
    <row r="472" spans="1:9" x14ac:dyDescent="0.3">
      <c r="A472" s="1">
        <v>46229</v>
      </c>
      <c r="B472">
        <v>2026</v>
      </c>
      <c r="C472">
        <v>7</v>
      </c>
      <c r="D472" t="s">
        <v>51</v>
      </c>
      <c r="E472" t="s">
        <v>45</v>
      </c>
      <c r="F472" t="s">
        <v>34</v>
      </c>
      <c r="G472" t="s">
        <v>31</v>
      </c>
      <c r="H472">
        <v>5</v>
      </c>
      <c r="I472">
        <v>6000</v>
      </c>
    </row>
    <row r="473" spans="1:9" x14ac:dyDescent="0.3">
      <c r="A473" s="1">
        <v>46290</v>
      </c>
      <c r="B473">
        <v>2026</v>
      </c>
      <c r="C473">
        <v>9</v>
      </c>
      <c r="D473" t="s">
        <v>50</v>
      </c>
      <c r="E473" t="s">
        <v>41</v>
      </c>
      <c r="F473" t="s">
        <v>34</v>
      </c>
      <c r="G473" t="s">
        <v>31</v>
      </c>
      <c r="H473">
        <v>3</v>
      </c>
      <c r="I473">
        <v>3600</v>
      </c>
    </row>
    <row r="474" spans="1:9" x14ac:dyDescent="0.3">
      <c r="A474" s="1">
        <v>46247</v>
      </c>
      <c r="B474">
        <v>2026</v>
      </c>
      <c r="C474">
        <v>8</v>
      </c>
      <c r="D474" t="s">
        <v>42</v>
      </c>
      <c r="E474" t="s">
        <v>43</v>
      </c>
      <c r="F474" t="s">
        <v>34</v>
      </c>
      <c r="G474" t="s">
        <v>31</v>
      </c>
      <c r="H474">
        <v>1</v>
      </c>
      <c r="I474">
        <v>1200</v>
      </c>
    </row>
    <row r="475" spans="1:9" x14ac:dyDescent="0.3">
      <c r="A475" s="1">
        <v>46324</v>
      </c>
      <c r="B475">
        <v>2026</v>
      </c>
      <c r="C475">
        <v>10</v>
      </c>
      <c r="D475" t="s">
        <v>44</v>
      </c>
      <c r="E475" t="s">
        <v>45</v>
      </c>
      <c r="F475" t="s">
        <v>34</v>
      </c>
      <c r="G475" t="s">
        <v>31</v>
      </c>
      <c r="H475">
        <v>1</v>
      </c>
      <c r="I475">
        <v>1200</v>
      </c>
    </row>
    <row r="476" spans="1:9" x14ac:dyDescent="0.3">
      <c r="A476" s="1">
        <v>46315</v>
      </c>
      <c r="B476">
        <v>2026</v>
      </c>
      <c r="C476">
        <v>10</v>
      </c>
      <c r="D476" t="s">
        <v>46</v>
      </c>
      <c r="E476" t="s">
        <v>47</v>
      </c>
      <c r="F476" t="s">
        <v>34</v>
      </c>
      <c r="G476" t="s">
        <v>31</v>
      </c>
      <c r="H476">
        <v>1</v>
      </c>
      <c r="I476">
        <v>1200</v>
      </c>
    </row>
    <row r="477" spans="1:9" x14ac:dyDescent="0.3">
      <c r="A477" s="1">
        <v>46237</v>
      </c>
      <c r="B477">
        <v>2026</v>
      </c>
      <c r="C477">
        <v>8</v>
      </c>
      <c r="D477" t="s">
        <v>46</v>
      </c>
      <c r="E477" t="s">
        <v>47</v>
      </c>
      <c r="F477" t="s">
        <v>34</v>
      </c>
      <c r="G477" t="s">
        <v>31</v>
      </c>
      <c r="H477">
        <v>2</v>
      </c>
      <c r="I477">
        <v>2400</v>
      </c>
    </row>
    <row r="478" spans="1:9" x14ac:dyDescent="0.3">
      <c r="A478" s="1">
        <v>46191</v>
      </c>
      <c r="B478">
        <v>2026</v>
      </c>
      <c r="C478">
        <v>6</v>
      </c>
      <c r="D478" t="s">
        <v>51</v>
      </c>
      <c r="E478" t="s">
        <v>45</v>
      </c>
      <c r="F478" t="s">
        <v>34</v>
      </c>
      <c r="G478" t="s">
        <v>31</v>
      </c>
      <c r="H478">
        <v>1</v>
      </c>
      <c r="I478">
        <v>1200</v>
      </c>
    </row>
    <row r="479" spans="1:9" x14ac:dyDescent="0.3">
      <c r="A479" s="1">
        <v>46103</v>
      </c>
      <c r="B479">
        <v>2026</v>
      </c>
      <c r="C479">
        <v>3</v>
      </c>
      <c r="D479" t="s">
        <v>42</v>
      </c>
      <c r="E479" t="s">
        <v>43</v>
      </c>
      <c r="F479" t="s">
        <v>34</v>
      </c>
      <c r="G479" t="s">
        <v>31</v>
      </c>
      <c r="H479">
        <v>5</v>
      </c>
      <c r="I479">
        <v>6000</v>
      </c>
    </row>
    <row r="480" spans="1:9" x14ac:dyDescent="0.3">
      <c r="A480" s="1">
        <v>46214</v>
      </c>
      <c r="B480">
        <v>2026</v>
      </c>
      <c r="C480">
        <v>7</v>
      </c>
      <c r="D480" t="s">
        <v>51</v>
      </c>
      <c r="E480" t="s">
        <v>45</v>
      </c>
      <c r="F480" t="s">
        <v>34</v>
      </c>
      <c r="G480" t="s">
        <v>31</v>
      </c>
      <c r="H480">
        <v>3</v>
      </c>
      <c r="I480">
        <v>3600</v>
      </c>
    </row>
    <row r="481" spans="1:9" x14ac:dyDescent="0.3">
      <c r="A481" s="1">
        <v>46232</v>
      </c>
      <c r="B481">
        <v>2026</v>
      </c>
      <c r="C481">
        <v>7</v>
      </c>
      <c r="D481" t="s">
        <v>44</v>
      </c>
      <c r="E481" t="s">
        <v>45</v>
      </c>
      <c r="F481" t="s">
        <v>34</v>
      </c>
      <c r="G481" t="s">
        <v>31</v>
      </c>
      <c r="H481">
        <v>5</v>
      </c>
      <c r="I481">
        <v>6000</v>
      </c>
    </row>
    <row r="482" spans="1:9" x14ac:dyDescent="0.3">
      <c r="A482" s="1">
        <v>46288</v>
      </c>
      <c r="B482">
        <v>2026</v>
      </c>
      <c r="C482">
        <v>9</v>
      </c>
      <c r="D482" t="s">
        <v>42</v>
      </c>
      <c r="E482" t="s">
        <v>43</v>
      </c>
      <c r="F482" t="s">
        <v>34</v>
      </c>
      <c r="G482" t="s">
        <v>31</v>
      </c>
      <c r="H482">
        <v>5</v>
      </c>
      <c r="I482">
        <v>6000</v>
      </c>
    </row>
    <row r="483" spans="1:9" x14ac:dyDescent="0.3">
      <c r="A483" s="1">
        <v>46112</v>
      </c>
      <c r="B483">
        <v>2026</v>
      </c>
      <c r="C483">
        <v>3</v>
      </c>
      <c r="D483" t="s">
        <v>50</v>
      </c>
      <c r="E483" t="s">
        <v>41</v>
      </c>
      <c r="F483" t="s">
        <v>34</v>
      </c>
      <c r="G483" t="s">
        <v>31</v>
      </c>
      <c r="H483">
        <v>1</v>
      </c>
      <c r="I483">
        <v>1200</v>
      </c>
    </row>
    <row r="484" spans="1:9" x14ac:dyDescent="0.3">
      <c r="A484" s="1">
        <v>46240</v>
      </c>
      <c r="B484">
        <v>2026</v>
      </c>
      <c r="C484">
        <v>8</v>
      </c>
      <c r="D484" t="s">
        <v>42</v>
      </c>
      <c r="E484" t="s">
        <v>43</v>
      </c>
      <c r="F484" t="s">
        <v>34</v>
      </c>
      <c r="G484" t="s">
        <v>31</v>
      </c>
      <c r="H484">
        <v>3</v>
      </c>
      <c r="I484">
        <v>3600</v>
      </c>
    </row>
    <row r="485" spans="1:9" x14ac:dyDescent="0.3">
      <c r="A485" s="1">
        <v>46145</v>
      </c>
      <c r="B485">
        <v>2026</v>
      </c>
      <c r="C485">
        <v>5</v>
      </c>
      <c r="D485" t="s">
        <v>48</v>
      </c>
      <c r="E485" t="s">
        <v>43</v>
      </c>
      <c r="F485" t="s">
        <v>34</v>
      </c>
      <c r="G485" t="s">
        <v>31</v>
      </c>
      <c r="H485">
        <v>2</v>
      </c>
      <c r="I485">
        <v>2400</v>
      </c>
    </row>
    <row r="486" spans="1:9" x14ac:dyDescent="0.3">
      <c r="A486" s="1">
        <v>46049</v>
      </c>
      <c r="B486">
        <v>2026</v>
      </c>
      <c r="C486">
        <v>1</v>
      </c>
      <c r="D486" t="s">
        <v>40</v>
      </c>
      <c r="E486" t="s">
        <v>41</v>
      </c>
      <c r="F486" t="s">
        <v>34</v>
      </c>
      <c r="G486" t="s">
        <v>31</v>
      </c>
      <c r="H486">
        <v>1</v>
      </c>
      <c r="I486">
        <v>1200</v>
      </c>
    </row>
    <row r="487" spans="1:9" x14ac:dyDescent="0.3">
      <c r="A487" s="1">
        <v>46225</v>
      </c>
      <c r="B487">
        <v>2026</v>
      </c>
      <c r="C487">
        <v>7</v>
      </c>
      <c r="D487" t="s">
        <v>50</v>
      </c>
      <c r="E487" t="s">
        <v>41</v>
      </c>
      <c r="F487" t="s">
        <v>34</v>
      </c>
      <c r="G487" t="s">
        <v>31</v>
      </c>
      <c r="H487">
        <v>5</v>
      </c>
      <c r="I487">
        <v>6000</v>
      </c>
    </row>
    <row r="488" spans="1:9" x14ac:dyDescent="0.3">
      <c r="A488" s="1">
        <v>46167</v>
      </c>
      <c r="B488">
        <v>2026</v>
      </c>
      <c r="C488">
        <v>5</v>
      </c>
      <c r="D488" t="s">
        <v>49</v>
      </c>
      <c r="E488" t="s">
        <v>47</v>
      </c>
      <c r="F488" t="s">
        <v>34</v>
      </c>
      <c r="G488" t="s">
        <v>31</v>
      </c>
      <c r="H488">
        <v>1</v>
      </c>
      <c r="I488">
        <v>1200</v>
      </c>
    </row>
    <row r="489" spans="1:9" x14ac:dyDescent="0.3">
      <c r="A489" s="1">
        <v>46216</v>
      </c>
      <c r="B489">
        <v>2026</v>
      </c>
      <c r="C489">
        <v>7</v>
      </c>
      <c r="D489" t="s">
        <v>42</v>
      </c>
      <c r="E489" t="s">
        <v>43</v>
      </c>
      <c r="F489" t="s">
        <v>34</v>
      </c>
      <c r="G489" t="s">
        <v>31</v>
      </c>
      <c r="H489">
        <v>2</v>
      </c>
      <c r="I489">
        <v>2400</v>
      </c>
    </row>
    <row r="490" spans="1:9" x14ac:dyDescent="0.3">
      <c r="A490" s="1">
        <v>46238</v>
      </c>
      <c r="B490">
        <v>2026</v>
      </c>
      <c r="C490">
        <v>8</v>
      </c>
      <c r="D490" t="s">
        <v>44</v>
      </c>
      <c r="E490" t="s">
        <v>45</v>
      </c>
      <c r="F490" t="s">
        <v>34</v>
      </c>
      <c r="G490" t="s">
        <v>31</v>
      </c>
      <c r="H490">
        <v>3</v>
      </c>
      <c r="I490">
        <v>3600</v>
      </c>
    </row>
    <row r="491" spans="1:9" x14ac:dyDescent="0.3">
      <c r="A491" s="1">
        <v>46283</v>
      </c>
      <c r="B491">
        <v>2026</v>
      </c>
      <c r="C491">
        <v>9</v>
      </c>
      <c r="D491" t="s">
        <v>44</v>
      </c>
      <c r="E491" t="s">
        <v>45</v>
      </c>
      <c r="F491" t="s">
        <v>34</v>
      </c>
      <c r="G491" t="s">
        <v>31</v>
      </c>
      <c r="H491">
        <v>2</v>
      </c>
      <c r="I491">
        <v>2400</v>
      </c>
    </row>
    <row r="492" spans="1:9" x14ac:dyDescent="0.3">
      <c r="A492" s="1">
        <v>46320</v>
      </c>
      <c r="B492">
        <v>2026</v>
      </c>
      <c r="C492">
        <v>10</v>
      </c>
      <c r="D492" t="s">
        <v>40</v>
      </c>
      <c r="E492" t="s">
        <v>41</v>
      </c>
      <c r="F492" t="s">
        <v>34</v>
      </c>
      <c r="G492" t="s">
        <v>31</v>
      </c>
      <c r="H492">
        <v>1</v>
      </c>
      <c r="I492">
        <v>1200</v>
      </c>
    </row>
    <row r="493" spans="1:9" x14ac:dyDescent="0.3">
      <c r="A493" s="1">
        <v>46058</v>
      </c>
      <c r="B493">
        <v>2026</v>
      </c>
      <c r="C493">
        <v>2</v>
      </c>
      <c r="D493" t="s">
        <v>48</v>
      </c>
      <c r="E493" t="s">
        <v>43</v>
      </c>
      <c r="F493" t="s">
        <v>34</v>
      </c>
      <c r="G493" t="s">
        <v>31</v>
      </c>
      <c r="H493">
        <v>2</v>
      </c>
      <c r="I493">
        <v>2400</v>
      </c>
    </row>
    <row r="494" spans="1:9" x14ac:dyDescent="0.3">
      <c r="A494" s="1">
        <v>46152</v>
      </c>
      <c r="B494">
        <v>2026</v>
      </c>
      <c r="C494">
        <v>5</v>
      </c>
      <c r="D494" t="s">
        <v>50</v>
      </c>
      <c r="E494" t="s">
        <v>41</v>
      </c>
      <c r="F494" t="s">
        <v>34</v>
      </c>
      <c r="G494" t="s">
        <v>31</v>
      </c>
      <c r="H494">
        <v>5</v>
      </c>
      <c r="I494">
        <v>6000</v>
      </c>
    </row>
    <row r="495" spans="1:9" x14ac:dyDescent="0.3">
      <c r="A495" s="1">
        <v>46225</v>
      </c>
      <c r="B495">
        <v>2026</v>
      </c>
      <c r="C495">
        <v>7</v>
      </c>
      <c r="D495" t="s">
        <v>42</v>
      </c>
      <c r="E495" t="s">
        <v>43</v>
      </c>
      <c r="F495" t="s">
        <v>34</v>
      </c>
      <c r="G495" t="s">
        <v>31</v>
      </c>
      <c r="H495">
        <v>4</v>
      </c>
      <c r="I495">
        <v>4800</v>
      </c>
    </row>
    <row r="496" spans="1:9" x14ac:dyDescent="0.3">
      <c r="A496" s="1">
        <v>46142</v>
      </c>
      <c r="B496">
        <v>2026</v>
      </c>
      <c r="C496">
        <v>4</v>
      </c>
      <c r="D496" t="s">
        <v>49</v>
      </c>
      <c r="E496" t="s">
        <v>47</v>
      </c>
      <c r="F496" t="s">
        <v>34</v>
      </c>
      <c r="G496" t="s">
        <v>31</v>
      </c>
      <c r="H496">
        <v>4</v>
      </c>
      <c r="I496">
        <v>4800</v>
      </c>
    </row>
    <row r="497" spans="1:9" x14ac:dyDescent="0.3">
      <c r="A497" s="1">
        <v>46230</v>
      </c>
      <c r="B497">
        <v>2026</v>
      </c>
      <c r="C497">
        <v>7</v>
      </c>
      <c r="D497" t="s">
        <v>51</v>
      </c>
      <c r="E497" t="s">
        <v>45</v>
      </c>
      <c r="F497" t="s">
        <v>34</v>
      </c>
      <c r="G497" t="s">
        <v>31</v>
      </c>
      <c r="H497">
        <v>2</v>
      </c>
      <c r="I497">
        <v>2400</v>
      </c>
    </row>
    <row r="498" spans="1:9" x14ac:dyDescent="0.3">
      <c r="A498" s="1">
        <v>46134</v>
      </c>
      <c r="B498">
        <v>2026</v>
      </c>
      <c r="C498">
        <v>4</v>
      </c>
      <c r="D498" t="s">
        <v>46</v>
      </c>
      <c r="E498" t="s">
        <v>47</v>
      </c>
      <c r="F498" t="s">
        <v>34</v>
      </c>
      <c r="G498" t="s">
        <v>31</v>
      </c>
      <c r="H498">
        <v>2</v>
      </c>
      <c r="I498">
        <v>2400</v>
      </c>
    </row>
    <row r="499" spans="1:9" x14ac:dyDescent="0.3">
      <c r="A499" s="1">
        <v>46027</v>
      </c>
      <c r="B499">
        <v>2026</v>
      </c>
      <c r="C499">
        <v>1</v>
      </c>
      <c r="D499" t="s">
        <v>42</v>
      </c>
      <c r="E499" t="s">
        <v>43</v>
      </c>
      <c r="F499" t="s">
        <v>34</v>
      </c>
      <c r="G499" t="s">
        <v>31</v>
      </c>
      <c r="H499">
        <v>2</v>
      </c>
      <c r="I499">
        <v>2400</v>
      </c>
    </row>
    <row r="500" spans="1:9" x14ac:dyDescent="0.3">
      <c r="A500" s="1">
        <v>46178</v>
      </c>
      <c r="B500">
        <v>2026</v>
      </c>
      <c r="C500">
        <v>6</v>
      </c>
      <c r="D500" t="s">
        <v>44</v>
      </c>
      <c r="E500" t="s">
        <v>45</v>
      </c>
      <c r="F500" t="s">
        <v>34</v>
      </c>
      <c r="G500" t="s">
        <v>31</v>
      </c>
      <c r="H500">
        <v>4</v>
      </c>
      <c r="I500">
        <v>4800</v>
      </c>
    </row>
    <row r="501" spans="1:9" x14ac:dyDescent="0.3">
      <c r="A501" s="1">
        <v>46104</v>
      </c>
      <c r="B501">
        <v>2026</v>
      </c>
      <c r="C501">
        <v>3</v>
      </c>
      <c r="D501" t="s">
        <v>44</v>
      </c>
      <c r="E501" t="s">
        <v>45</v>
      </c>
      <c r="F501" t="s">
        <v>34</v>
      </c>
      <c r="G501" t="s">
        <v>31</v>
      </c>
      <c r="H501">
        <v>2</v>
      </c>
      <c r="I501">
        <v>2400</v>
      </c>
    </row>
    <row r="502" spans="1:9" x14ac:dyDescent="0.3">
      <c r="A502" s="1">
        <v>46039</v>
      </c>
      <c r="B502">
        <v>2026</v>
      </c>
      <c r="C502">
        <v>1</v>
      </c>
      <c r="D502" t="s">
        <v>46</v>
      </c>
      <c r="E502" t="s">
        <v>47</v>
      </c>
      <c r="F502" t="s">
        <v>34</v>
      </c>
      <c r="G502" t="s">
        <v>31</v>
      </c>
      <c r="H502">
        <v>1</v>
      </c>
      <c r="I502">
        <v>1200</v>
      </c>
    </row>
    <row r="503" spans="1:9" x14ac:dyDescent="0.3">
      <c r="A503" s="1">
        <v>46261</v>
      </c>
      <c r="B503">
        <v>2026</v>
      </c>
      <c r="C503">
        <v>8</v>
      </c>
      <c r="D503" t="s">
        <v>40</v>
      </c>
      <c r="E503" t="s">
        <v>41</v>
      </c>
      <c r="F503" t="s">
        <v>34</v>
      </c>
      <c r="G503" t="s">
        <v>31</v>
      </c>
      <c r="H503">
        <v>3</v>
      </c>
      <c r="I503">
        <v>3600</v>
      </c>
    </row>
    <row r="504" spans="1:9" x14ac:dyDescent="0.3">
      <c r="A504" s="1">
        <v>46197</v>
      </c>
      <c r="B504">
        <v>2026</v>
      </c>
      <c r="C504">
        <v>6</v>
      </c>
      <c r="D504" t="s">
        <v>49</v>
      </c>
      <c r="E504" t="s">
        <v>47</v>
      </c>
      <c r="F504" t="s">
        <v>34</v>
      </c>
      <c r="G504" t="s">
        <v>31</v>
      </c>
      <c r="H504">
        <v>2</v>
      </c>
      <c r="I504">
        <v>2400</v>
      </c>
    </row>
    <row r="505" spans="1:9" x14ac:dyDescent="0.3">
      <c r="A505" s="1">
        <v>46099</v>
      </c>
      <c r="B505">
        <v>2026</v>
      </c>
      <c r="C505">
        <v>3</v>
      </c>
      <c r="D505" t="s">
        <v>48</v>
      </c>
      <c r="E505" t="s">
        <v>43</v>
      </c>
      <c r="F505" t="s">
        <v>34</v>
      </c>
      <c r="G505" t="s">
        <v>31</v>
      </c>
      <c r="H505">
        <v>3</v>
      </c>
      <c r="I505">
        <v>3600</v>
      </c>
    </row>
    <row r="506" spans="1:9" x14ac:dyDescent="0.3">
      <c r="A506" s="1">
        <v>46062</v>
      </c>
      <c r="B506">
        <v>2026</v>
      </c>
      <c r="C506">
        <v>2</v>
      </c>
      <c r="D506" t="s">
        <v>44</v>
      </c>
      <c r="E506" t="s">
        <v>45</v>
      </c>
      <c r="F506" t="s">
        <v>34</v>
      </c>
      <c r="G506" t="s">
        <v>31</v>
      </c>
      <c r="H506">
        <v>1</v>
      </c>
      <c r="I506">
        <v>1200</v>
      </c>
    </row>
    <row r="507" spans="1:9" x14ac:dyDescent="0.3">
      <c r="A507" s="1">
        <v>46151</v>
      </c>
      <c r="B507">
        <v>2026</v>
      </c>
      <c r="C507">
        <v>5</v>
      </c>
      <c r="D507" t="s">
        <v>40</v>
      </c>
      <c r="E507" t="s">
        <v>41</v>
      </c>
      <c r="F507" t="s">
        <v>34</v>
      </c>
      <c r="G507" t="s">
        <v>31</v>
      </c>
      <c r="H507">
        <v>2</v>
      </c>
      <c r="I507">
        <v>2400</v>
      </c>
    </row>
    <row r="508" spans="1:9" x14ac:dyDescent="0.3">
      <c r="A508" s="1">
        <v>46050</v>
      </c>
      <c r="B508">
        <v>2026</v>
      </c>
      <c r="C508">
        <v>1</v>
      </c>
      <c r="D508" t="s">
        <v>44</v>
      </c>
      <c r="E508" t="s">
        <v>45</v>
      </c>
      <c r="F508" t="s">
        <v>34</v>
      </c>
      <c r="G508" t="s">
        <v>31</v>
      </c>
      <c r="H508">
        <v>3</v>
      </c>
      <c r="I508">
        <v>3600</v>
      </c>
    </row>
    <row r="509" spans="1:9" x14ac:dyDescent="0.3">
      <c r="A509" s="1">
        <v>46288</v>
      </c>
      <c r="B509">
        <v>2026</v>
      </c>
      <c r="C509">
        <v>9</v>
      </c>
      <c r="D509" t="s">
        <v>51</v>
      </c>
      <c r="E509" t="s">
        <v>45</v>
      </c>
      <c r="F509" t="s">
        <v>34</v>
      </c>
      <c r="G509" t="s">
        <v>31</v>
      </c>
      <c r="H509">
        <v>2</v>
      </c>
      <c r="I509">
        <v>2400</v>
      </c>
    </row>
    <row r="510" spans="1:9" x14ac:dyDescent="0.3">
      <c r="A510" s="1">
        <v>46150</v>
      </c>
      <c r="B510">
        <v>2026</v>
      </c>
      <c r="C510">
        <v>5</v>
      </c>
      <c r="D510" t="s">
        <v>50</v>
      </c>
      <c r="E510" t="s">
        <v>41</v>
      </c>
      <c r="F510" t="s">
        <v>34</v>
      </c>
      <c r="G510" t="s">
        <v>31</v>
      </c>
      <c r="H510">
        <v>2</v>
      </c>
      <c r="I510">
        <v>2400</v>
      </c>
    </row>
    <row r="511" spans="1:9" x14ac:dyDescent="0.3">
      <c r="A511" s="1">
        <v>46044</v>
      </c>
      <c r="B511">
        <v>2026</v>
      </c>
      <c r="C511">
        <v>1</v>
      </c>
      <c r="D511" t="s">
        <v>40</v>
      </c>
      <c r="E511" t="s">
        <v>41</v>
      </c>
      <c r="F511" t="s">
        <v>34</v>
      </c>
      <c r="G511" t="s">
        <v>31</v>
      </c>
      <c r="H511">
        <v>2</v>
      </c>
      <c r="I511">
        <v>2400</v>
      </c>
    </row>
    <row r="512" spans="1:9" x14ac:dyDescent="0.3">
      <c r="A512" s="1">
        <v>46299</v>
      </c>
      <c r="B512">
        <v>2026</v>
      </c>
      <c r="C512">
        <v>10</v>
      </c>
      <c r="D512" t="s">
        <v>42</v>
      </c>
      <c r="E512" t="s">
        <v>43</v>
      </c>
      <c r="F512" t="s">
        <v>34</v>
      </c>
      <c r="G512" t="s">
        <v>31</v>
      </c>
      <c r="H512">
        <v>5</v>
      </c>
      <c r="I512">
        <v>6000</v>
      </c>
    </row>
    <row r="513" spans="1:9" x14ac:dyDescent="0.3">
      <c r="A513" s="1">
        <v>46162</v>
      </c>
      <c r="B513">
        <v>2026</v>
      </c>
      <c r="C513">
        <v>5</v>
      </c>
      <c r="D513" t="s">
        <v>50</v>
      </c>
      <c r="E513" t="s">
        <v>41</v>
      </c>
      <c r="F513" t="s">
        <v>34</v>
      </c>
      <c r="G513" t="s">
        <v>31</v>
      </c>
      <c r="H513">
        <v>4</v>
      </c>
      <c r="I513">
        <v>4800</v>
      </c>
    </row>
    <row r="514" spans="1:9" x14ac:dyDescent="0.3">
      <c r="A514" s="1">
        <v>46263</v>
      </c>
      <c r="B514">
        <v>2026</v>
      </c>
      <c r="C514">
        <v>8</v>
      </c>
      <c r="D514" t="s">
        <v>46</v>
      </c>
      <c r="E514" t="s">
        <v>47</v>
      </c>
      <c r="F514" t="s">
        <v>34</v>
      </c>
      <c r="G514" t="s">
        <v>31</v>
      </c>
      <c r="H514">
        <v>5</v>
      </c>
      <c r="I514">
        <v>6000</v>
      </c>
    </row>
    <row r="515" spans="1:9" x14ac:dyDescent="0.3">
      <c r="A515" s="1">
        <v>46082</v>
      </c>
      <c r="B515">
        <v>2026</v>
      </c>
      <c r="C515">
        <v>3</v>
      </c>
      <c r="D515" t="s">
        <v>44</v>
      </c>
      <c r="E515" t="s">
        <v>45</v>
      </c>
      <c r="F515" t="s">
        <v>34</v>
      </c>
      <c r="G515" t="s">
        <v>31</v>
      </c>
      <c r="H515">
        <v>3</v>
      </c>
      <c r="I515">
        <v>3600</v>
      </c>
    </row>
    <row r="516" spans="1:9" x14ac:dyDescent="0.3">
      <c r="A516" s="1">
        <v>46130</v>
      </c>
      <c r="B516">
        <v>2026</v>
      </c>
      <c r="C516">
        <v>4</v>
      </c>
      <c r="D516" t="s">
        <v>42</v>
      </c>
      <c r="E516" t="s">
        <v>43</v>
      </c>
      <c r="F516" t="s">
        <v>34</v>
      </c>
      <c r="G516" t="s">
        <v>31</v>
      </c>
      <c r="H516">
        <v>5</v>
      </c>
      <c r="I516">
        <v>6000</v>
      </c>
    </row>
    <row r="517" spans="1:9" x14ac:dyDescent="0.3">
      <c r="A517" s="1">
        <v>46276</v>
      </c>
      <c r="B517">
        <v>2026</v>
      </c>
      <c r="C517">
        <v>9</v>
      </c>
      <c r="D517" t="s">
        <v>46</v>
      </c>
      <c r="E517" t="s">
        <v>47</v>
      </c>
      <c r="F517" t="s">
        <v>34</v>
      </c>
      <c r="G517" t="s">
        <v>31</v>
      </c>
      <c r="H517">
        <v>2</v>
      </c>
      <c r="I517">
        <v>2400</v>
      </c>
    </row>
    <row r="518" spans="1:9" x14ac:dyDescent="0.3">
      <c r="A518" s="1">
        <v>46215</v>
      </c>
      <c r="B518">
        <v>2026</v>
      </c>
      <c r="C518">
        <v>7</v>
      </c>
      <c r="D518" t="s">
        <v>46</v>
      </c>
      <c r="E518" t="s">
        <v>47</v>
      </c>
      <c r="F518" t="s">
        <v>34</v>
      </c>
      <c r="G518" t="s">
        <v>31</v>
      </c>
      <c r="H518">
        <v>5</v>
      </c>
      <c r="I518">
        <v>6000</v>
      </c>
    </row>
    <row r="519" spans="1:9" x14ac:dyDescent="0.3">
      <c r="A519" s="1">
        <v>46063</v>
      </c>
      <c r="B519">
        <v>2026</v>
      </c>
      <c r="C519">
        <v>2</v>
      </c>
      <c r="D519" t="s">
        <v>46</v>
      </c>
      <c r="E519" t="s">
        <v>47</v>
      </c>
      <c r="F519" t="s">
        <v>34</v>
      </c>
      <c r="G519" t="s">
        <v>31</v>
      </c>
      <c r="H519">
        <v>5</v>
      </c>
      <c r="I519">
        <v>6000</v>
      </c>
    </row>
    <row r="520" spans="1:9" x14ac:dyDescent="0.3">
      <c r="A520" s="1">
        <v>46194</v>
      </c>
      <c r="B520">
        <v>2026</v>
      </c>
      <c r="C520">
        <v>6</v>
      </c>
      <c r="D520" t="s">
        <v>42</v>
      </c>
      <c r="E520" t="s">
        <v>43</v>
      </c>
      <c r="F520" t="s">
        <v>34</v>
      </c>
      <c r="G520" t="s">
        <v>31</v>
      </c>
      <c r="H520">
        <v>2</v>
      </c>
      <c r="I520">
        <v>2400</v>
      </c>
    </row>
    <row r="521" spans="1:9" x14ac:dyDescent="0.3">
      <c r="A521" s="1">
        <v>46109</v>
      </c>
      <c r="B521">
        <v>2026</v>
      </c>
      <c r="C521">
        <v>3</v>
      </c>
      <c r="D521" t="s">
        <v>48</v>
      </c>
      <c r="E521" t="s">
        <v>43</v>
      </c>
      <c r="F521" t="s">
        <v>34</v>
      </c>
      <c r="G521" t="s">
        <v>31</v>
      </c>
      <c r="H521">
        <v>2</v>
      </c>
      <c r="I521">
        <v>2400</v>
      </c>
    </row>
    <row r="522" spans="1:9" x14ac:dyDescent="0.3">
      <c r="A522" s="1">
        <v>46070</v>
      </c>
      <c r="B522">
        <v>2026</v>
      </c>
      <c r="C522">
        <v>2</v>
      </c>
      <c r="D522" t="s">
        <v>40</v>
      </c>
      <c r="E522" t="s">
        <v>41</v>
      </c>
      <c r="F522" t="s">
        <v>34</v>
      </c>
      <c r="G522" t="s">
        <v>31</v>
      </c>
      <c r="H522">
        <v>1</v>
      </c>
      <c r="I522">
        <v>1200</v>
      </c>
    </row>
    <row r="523" spans="1:9" x14ac:dyDescent="0.3">
      <c r="A523" s="1">
        <v>46224</v>
      </c>
      <c r="B523">
        <v>2026</v>
      </c>
      <c r="C523">
        <v>7</v>
      </c>
      <c r="D523" t="s">
        <v>44</v>
      </c>
      <c r="E523" t="s">
        <v>45</v>
      </c>
      <c r="F523" t="s">
        <v>34</v>
      </c>
      <c r="G523" t="s">
        <v>31</v>
      </c>
      <c r="H523">
        <v>1</v>
      </c>
      <c r="I523">
        <v>1200</v>
      </c>
    </row>
    <row r="524" spans="1:9" x14ac:dyDescent="0.3">
      <c r="A524" s="1">
        <v>46302</v>
      </c>
      <c r="B524">
        <v>2026</v>
      </c>
      <c r="C524">
        <v>10</v>
      </c>
      <c r="D524" t="s">
        <v>49</v>
      </c>
      <c r="E524" t="s">
        <v>47</v>
      </c>
      <c r="F524" t="s">
        <v>34</v>
      </c>
      <c r="G524" t="s">
        <v>31</v>
      </c>
      <c r="H524">
        <v>5</v>
      </c>
      <c r="I524">
        <v>6000</v>
      </c>
    </row>
    <row r="525" spans="1:9" x14ac:dyDescent="0.3">
      <c r="A525" s="1">
        <v>46027</v>
      </c>
      <c r="B525">
        <v>2026</v>
      </c>
      <c r="C525">
        <v>1</v>
      </c>
      <c r="D525" t="s">
        <v>48</v>
      </c>
      <c r="E525" t="s">
        <v>43</v>
      </c>
      <c r="F525" t="s">
        <v>34</v>
      </c>
      <c r="G525" t="s">
        <v>31</v>
      </c>
      <c r="H525">
        <v>2</v>
      </c>
      <c r="I525">
        <v>2400</v>
      </c>
    </row>
    <row r="526" spans="1:9" x14ac:dyDescent="0.3">
      <c r="A526" s="1">
        <v>46071</v>
      </c>
      <c r="B526">
        <v>2026</v>
      </c>
      <c r="C526">
        <v>2</v>
      </c>
      <c r="D526" t="s">
        <v>49</v>
      </c>
      <c r="E526" t="s">
        <v>47</v>
      </c>
      <c r="F526" t="s">
        <v>34</v>
      </c>
      <c r="G526" t="s">
        <v>31</v>
      </c>
      <c r="H526">
        <v>2</v>
      </c>
      <c r="I526">
        <v>2400</v>
      </c>
    </row>
    <row r="527" spans="1:9" x14ac:dyDescent="0.3">
      <c r="A527" s="1">
        <v>46177</v>
      </c>
      <c r="B527">
        <v>2026</v>
      </c>
      <c r="C527">
        <v>6</v>
      </c>
      <c r="D527" t="s">
        <v>49</v>
      </c>
      <c r="E527" t="s">
        <v>47</v>
      </c>
      <c r="F527" t="s">
        <v>34</v>
      </c>
      <c r="G527" t="s">
        <v>31</v>
      </c>
      <c r="H527">
        <v>5</v>
      </c>
      <c r="I527">
        <v>6000</v>
      </c>
    </row>
    <row r="528" spans="1:9" x14ac:dyDescent="0.3">
      <c r="A528" s="1">
        <v>46044</v>
      </c>
      <c r="B528">
        <v>2026</v>
      </c>
      <c r="C528">
        <v>1</v>
      </c>
      <c r="D528" t="s">
        <v>40</v>
      </c>
      <c r="E528" t="s">
        <v>41</v>
      </c>
      <c r="F528" t="s">
        <v>30</v>
      </c>
      <c r="G528" t="s">
        <v>31</v>
      </c>
      <c r="H528">
        <v>5</v>
      </c>
      <c r="I528">
        <v>12500</v>
      </c>
    </row>
    <row r="529" spans="1:9" x14ac:dyDescent="0.3">
      <c r="A529" s="1">
        <v>46142</v>
      </c>
      <c r="B529">
        <v>2026</v>
      </c>
      <c r="C529">
        <v>4</v>
      </c>
      <c r="D529" t="s">
        <v>51</v>
      </c>
      <c r="E529" t="s">
        <v>45</v>
      </c>
      <c r="F529" t="s">
        <v>30</v>
      </c>
      <c r="G529" t="s">
        <v>31</v>
      </c>
      <c r="H529">
        <v>3</v>
      </c>
      <c r="I529">
        <v>7500</v>
      </c>
    </row>
    <row r="530" spans="1:9" x14ac:dyDescent="0.3">
      <c r="A530" s="1">
        <v>46232</v>
      </c>
      <c r="B530">
        <v>2026</v>
      </c>
      <c r="C530">
        <v>7</v>
      </c>
      <c r="D530" t="s">
        <v>46</v>
      </c>
      <c r="E530" t="s">
        <v>47</v>
      </c>
      <c r="F530" t="s">
        <v>30</v>
      </c>
      <c r="G530" t="s">
        <v>31</v>
      </c>
      <c r="H530">
        <v>3</v>
      </c>
      <c r="I530">
        <v>7500</v>
      </c>
    </row>
    <row r="531" spans="1:9" x14ac:dyDescent="0.3">
      <c r="A531" s="1">
        <v>46303</v>
      </c>
      <c r="B531">
        <v>2026</v>
      </c>
      <c r="C531">
        <v>10</v>
      </c>
      <c r="D531" t="s">
        <v>49</v>
      </c>
      <c r="E531" t="s">
        <v>47</v>
      </c>
      <c r="F531" t="s">
        <v>30</v>
      </c>
      <c r="G531" t="s">
        <v>31</v>
      </c>
      <c r="H531">
        <v>5</v>
      </c>
      <c r="I531">
        <v>12500</v>
      </c>
    </row>
    <row r="532" spans="1:9" x14ac:dyDescent="0.3">
      <c r="A532" s="1">
        <v>46287</v>
      </c>
      <c r="B532">
        <v>2026</v>
      </c>
      <c r="C532">
        <v>9</v>
      </c>
      <c r="D532" t="s">
        <v>49</v>
      </c>
      <c r="E532" t="s">
        <v>47</v>
      </c>
      <c r="F532" t="s">
        <v>30</v>
      </c>
      <c r="G532" t="s">
        <v>31</v>
      </c>
      <c r="H532">
        <v>3</v>
      </c>
      <c r="I532">
        <v>7500</v>
      </c>
    </row>
    <row r="533" spans="1:9" x14ac:dyDescent="0.3">
      <c r="A533" s="1">
        <v>46321</v>
      </c>
      <c r="B533">
        <v>2026</v>
      </c>
      <c r="C533">
        <v>10</v>
      </c>
      <c r="D533" t="s">
        <v>44</v>
      </c>
      <c r="E533" t="s">
        <v>45</v>
      </c>
      <c r="F533" t="s">
        <v>30</v>
      </c>
      <c r="G533" t="s">
        <v>31</v>
      </c>
      <c r="H533">
        <v>5</v>
      </c>
      <c r="I533">
        <v>12500</v>
      </c>
    </row>
    <row r="534" spans="1:9" x14ac:dyDescent="0.3">
      <c r="A534" s="1">
        <v>46084</v>
      </c>
      <c r="B534">
        <v>2026</v>
      </c>
      <c r="C534">
        <v>3</v>
      </c>
      <c r="D534" t="s">
        <v>42</v>
      </c>
      <c r="E534" t="s">
        <v>43</v>
      </c>
      <c r="F534" t="s">
        <v>30</v>
      </c>
      <c r="G534" t="s">
        <v>31</v>
      </c>
      <c r="H534">
        <v>2</v>
      </c>
      <c r="I534">
        <v>5000</v>
      </c>
    </row>
    <row r="535" spans="1:9" x14ac:dyDescent="0.3">
      <c r="A535" s="1">
        <v>46254</v>
      </c>
      <c r="B535">
        <v>2026</v>
      </c>
      <c r="C535">
        <v>8</v>
      </c>
      <c r="D535" t="s">
        <v>48</v>
      </c>
      <c r="E535" t="s">
        <v>43</v>
      </c>
      <c r="F535" t="s">
        <v>30</v>
      </c>
      <c r="G535" t="s">
        <v>31</v>
      </c>
      <c r="H535">
        <v>2</v>
      </c>
      <c r="I535">
        <v>5000</v>
      </c>
    </row>
    <row r="536" spans="1:9" x14ac:dyDescent="0.3">
      <c r="A536" s="1">
        <v>46041</v>
      </c>
      <c r="B536">
        <v>2026</v>
      </c>
      <c r="C536">
        <v>1</v>
      </c>
      <c r="D536" t="s">
        <v>48</v>
      </c>
      <c r="E536" t="s">
        <v>43</v>
      </c>
      <c r="F536" t="s">
        <v>30</v>
      </c>
      <c r="G536" t="s">
        <v>31</v>
      </c>
      <c r="H536">
        <v>4</v>
      </c>
      <c r="I536">
        <v>10000</v>
      </c>
    </row>
    <row r="537" spans="1:9" x14ac:dyDescent="0.3">
      <c r="A537" s="1">
        <v>46050</v>
      </c>
      <c r="B537">
        <v>2026</v>
      </c>
      <c r="C537">
        <v>1</v>
      </c>
      <c r="D537" t="s">
        <v>51</v>
      </c>
      <c r="E537" t="s">
        <v>45</v>
      </c>
      <c r="F537" t="s">
        <v>30</v>
      </c>
      <c r="G537" t="s">
        <v>31</v>
      </c>
      <c r="H537">
        <v>1</v>
      </c>
      <c r="I537">
        <v>2500</v>
      </c>
    </row>
    <row r="538" spans="1:9" x14ac:dyDescent="0.3">
      <c r="A538" s="1">
        <v>46111</v>
      </c>
      <c r="B538">
        <v>2026</v>
      </c>
      <c r="C538">
        <v>3</v>
      </c>
      <c r="D538" t="s">
        <v>44</v>
      </c>
      <c r="E538" t="s">
        <v>45</v>
      </c>
      <c r="F538" t="s">
        <v>30</v>
      </c>
      <c r="G538" t="s">
        <v>31</v>
      </c>
      <c r="H538">
        <v>5</v>
      </c>
      <c r="I538">
        <v>12500</v>
      </c>
    </row>
    <row r="539" spans="1:9" x14ac:dyDescent="0.3">
      <c r="A539" s="1">
        <v>46272</v>
      </c>
      <c r="B539">
        <v>2026</v>
      </c>
      <c r="C539">
        <v>9</v>
      </c>
      <c r="D539" t="s">
        <v>49</v>
      </c>
      <c r="E539" t="s">
        <v>47</v>
      </c>
      <c r="F539" t="s">
        <v>30</v>
      </c>
      <c r="G539" t="s">
        <v>31</v>
      </c>
      <c r="H539">
        <v>4</v>
      </c>
      <c r="I539">
        <v>10000</v>
      </c>
    </row>
    <row r="540" spans="1:9" x14ac:dyDescent="0.3">
      <c r="A540" s="1">
        <v>46242</v>
      </c>
      <c r="B540">
        <v>2026</v>
      </c>
      <c r="C540">
        <v>8</v>
      </c>
      <c r="D540" t="s">
        <v>49</v>
      </c>
      <c r="E540" t="s">
        <v>47</v>
      </c>
      <c r="F540" t="s">
        <v>30</v>
      </c>
      <c r="G540" t="s">
        <v>31</v>
      </c>
      <c r="H540">
        <v>2</v>
      </c>
      <c r="I540">
        <v>5000</v>
      </c>
    </row>
    <row r="541" spans="1:9" x14ac:dyDescent="0.3">
      <c r="A541" s="1">
        <v>46264</v>
      </c>
      <c r="B541">
        <v>2026</v>
      </c>
      <c r="C541">
        <v>8</v>
      </c>
      <c r="D541" t="s">
        <v>50</v>
      </c>
      <c r="E541" t="s">
        <v>41</v>
      </c>
      <c r="F541" t="s">
        <v>30</v>
      </c>
      <c r="G541" t="s">
        <v>31</v>
      </c>
      <c r="H541">
        <v>5</v>
      </c>
      <c r="I541">
        <v>12500</v>
      </c>
    </row>
    <row r="542" spans="1:9" x14ac:dyDescent="0.3">
      <c r="A542" s="1">
        <v>46177</v>
      </c>
      <c r="B542">
        <v>2026</v>
      </c>
      <c r="C542">
        <v>6</v>
      </c>
      <c r="D542" t="s">
        <v>50</v>
      </c>
      <c r="E542" t="s">
        <v>41</v>
      </c>
      <c r="F542" t="s">
        <v>30</v>
      </c>
      <c r="G542" t="s">
        <v>31</v>
      </c>
      <c r="H542">
        <v>4</v>
      </c>
      <c r="I542">
        <v>10000</v>
      </c>
    </row>
    <row r="543" spans="1:9" x14ac:dyDescent="0.3">
      <c r="A543" s="1">
        <v>46033</v>
      </c>
      <c r="B543">
        <v>2026</v>
      </c>
      <c r="C543">
        <v>1</v>
      </c>
      <c r="D543" t="s">
        <v>48</v>
      </c>
      <c r="E543" t="s">
        <v>43</v>
      </c>
      <c r="F543" t="s">
        <v>30</v>
      </c>
      <c r="G543" t="s">
        <v>31</v>
      </c>
      <c r="H543">
        <v>5</v>
      </c>
      <c r="I543">
        <v>12500</v>
      </c>
    </row>
    <row r="544" spans="1:9" x14ac:dyDescent="0.3">
      <c r="A544" s="1">
        <v>46025</v>
      </c>
      <c r="B544">
        <v>2026</v>
      </c>
      <c r="C544">
        <v>1</v>
      </c>
      <c r="D544" t="s">
        <v>50</v>
      </c>
      <c r="E544" t="s">
        <v>41</v>
      </c>
      <c r="F544" t="s">
        <v>30</v>
      </c>
      <c r="G544" t="s">
        <v>31</v>
      </c>
      <c r="H544">
        <v>2</v>
      </c>
      <c r="I544">
        <v>5000</v>
      </c>
    </row>
    <row r="545" spans="1:9" x14ac:dyDescent="0.3">
      <c r="A545" s="1">
        <v>46282</v>
      </c>
      <c r="B545">
        <v>2026</v>
      </c>
      <c r="C545">
        <v>9</v>
      </c>
      <c r="D545" t="s">
        <v>46</v>
      </c>
      <c r="E545" t="s">
        <v>47</v>
      </c>
      <c r="F545" t="s">
        <v>30</v>
      </c>
      <c r="G545" t="s">
        <v>31</v>
      </c>
      <c r="H545">
        <v>4</v>
      </c>
      <c r="I545">
        <v>10000</v>
      </c>
    </row>
    <row r="546" spans="1:9" x14ac:dyDescent="0.3">
      <c r="A546" s="1">
        <v>46049</v>
      </c>
      <c r="B546">
        <v>2026</v>
      </c>
      <c r="C546">
        <v>1</v>
      </c>
      <c r="D546" t="s">
        <v>44</v>
      </c>
      <c r="E546" t="s">
        <v>45</v>
      </c>
      <c r="F546" t="s">
        <v>30</v>
      </c>
      <c r="G546" t="s">
        <v>31</v>
      </c>
      <c r="H546">
        <v>2</v>
      </c>
      <c r="I546">
        <v>5000</v>
      </c>
    </row>
    <row r="547" spans="1:9" x14ac:dyDescent="0.3">
      <c r="A547" s="1">
        <v>46129</v>
      </c>
      <c r="B547">
        <v>2026</v>
      </c>
      <c r="C547">
        <v>4</v>
      </c>
      <c r="D547" t="s">
        <v>44</v>
      </c>
      <c r="E547" t="s">
        <v>45</v>
      </c>
      <c r="F547" t="s">
        <v>30</v>
      </c>
      <c r="G547" t="s">
        <v>31</v>
      </c>
      <c r="H547">
        <v>3</v>
      </c>
      <c r="I547">
        <v>7500</v>
      </c>
    </row>
    <row r="548" spans="1:9" x14ac:dyDescent="0.3">
      <c r="A548" s="1">
        <v>46062</v>
      </c>
      <c r="B548">
        <v>2026</v>
      </c>
      <c r="C548">
        <v>2</v>
      </c>
      <c r="D548" t="s">
        <v>44</v>
      </c>
      <c r="E548" t="s">
        <v>45</v>
      </c>
      <c r="F548" t="s">
        <v>30</v>
      </c>
      <c r="G548" t="s">
        <v>31</v>
      </c>
      <c r="H548">
        <v>2</v>
      </c>
      <c r="I548">
        <v>5000</v>
      </c>
    </row>
    <row r="549" spans="1:9" x14ac:dyDescent="0.3">
      <c r="A549" s="1">
        <v>46049</v>
      </c>
      <c r="B549">
        <v>2026</v>
      </c>
      <c r="C549">
        <v>1</v>
      </c>
      <c r="D549" t="s">
        <v>48</v>
      </c>
      <c r="E549" t="s">
        <v>43</v>
      </c>
      <c r="F549" t="s">
        <v>30</v>
      </c>
      <c r="G549" t="s">
        <v>31</v>
      </c>
      <c r="H549">
        <v>5</v>
      </c>
      <c r="I549">
        <v>12500</v>
      </c>
    </row>
    <row r="550" spans="1:9" x14ac:dyDescent="0.3">
      <c r="A550" s="1">
        <v>46142</v>
      </c>
      <c r="B550">
        <v>2026</v>
      </c>
      <c r="C550">
        <v>4</v>
      </c>
      <c r="D550" t="s">
        <v>51</v>
      </c>
      <c r="E550" t="s">
        <v>45</v>
      </c>
      <c r="F550" t="s">
        <v>30</v>
      </c>
      <c r="G550" t="s">
        <v>31</v>
      </c>
      <c r="H550">
        <v>1</v>
      </c>
      <c r="I550">
        <v>2500</v>
      </c>
    </row>
    <row r="551" spans="1:9" x14ac:dyDescent="0.3">
      <c r="A551" s="1">
        <v>46223</v>
      </c>
      <c r="B551">
        <v>2026</v>
      </c>
      <c r="C551">
        <v>7</v>
      </c>
      <c r="D551" t="s">
        <v>42</v>
      </c>
      <c r="E551" t="s">
        <v>43</v>
      </c>
      <c r="F551" t="s">
        <v>30</v>
      </c>
      <c r="G551" t="s">
        <v>31</v>
      </c>
      <c r="H551">
        <v>3</v>
      </c>
      <c r="I551">
        <v>7500</v>
      </c>
    </row>
    <row r="552" spans="1:9" x14ac:dyDescent="0.3">
      <c r="A552" s="1">
        <v>46244</v>
      </c>
      <c r="B552">
        <v>2026</v>
      </c>
      <c r="C552">
        <v>8</v>
      </c>
      <c r="D552" t="s">
        <v>40</v>
      </c>
      <c r="E552" t="s">
        <v>41</v>
      </c>
      <c r="F552" t="s">
        <v>30</v>
      </c>
      <c r="G552" t="s">
        <v>31</v>
      </c>
      <c r="H552">
        <v>5</v>
      </c>
      <c r="I552">
        <v>12500</v>
      </c>
    </row>
    <row r="553" spans="1:9" x14ac:dyDescent="0.3">
      <c r="A553" s="1">
        <v>46076</v>
      </c>
      <c r="B553">
        <v>2026</v>
      </c>
      <c r="C553">
        <v>2</v>
      </c>
      <c r="D553" t="s">
        <v>48</v>
      </c>
      <c r="E553" t="s">
        <v>43</v>
      </c>
      <c r="F553" t="s">
        <v>30</v>
      </c>
      <c r="G553" t="s">
        <v>31</v>
      </c>
      <c r="H553">
        <v>1</v>
      </c>
      <c r="I553">
        <v>2500</v>
      </c>
    </row>
    <row r="554" spans="1:9" x14ac:dyDescent="0.3">
      <c r="A554" s="1">
        <v>46173</v>
      </c>
      <c r="B554">
        <v>2026</v>
      </c>
      <c r="C554">
        <v>5</v>
      </c>
      <c r="D554" t="s">
        <v>48</v>
      </c>
      <c r="E554" t="s">
        <v>43</v>
      </c>
      <c r="F554" t="s">
        <v>30</v>
      </c>
      <c r="G554" t="s">
        <v>31</v>
      </c>
      <c r="H554">
        <v>2</v>
      </c>
      <c r="I554">
        <v>5000</v>
      </c>
    </row>
    <row r="555" spans="1:9" x14ac:dyDescent="0.3">
      <c r="A555" s="1">
        <v>46074</v>
      </c>
      <c r="B555">
        <v>2026</v>
      </c>
      <c r="C555">
        <v>2</v>
      </c>
      <c r="D555" t="s">
        <v>50</v>
      </c>
      <c r="E555" t="s">
        <v>41</v>
      </c>
      <c r="F555" t="s">
        <v>30</v>
      </c>
      <c r="G555" t="s">
        <v>31</v>
      </c>
      <c r="H555">
        <v>1</v>
      </c>
      <c r="I555">
        <v>2500</v>
      </c>
    </row>
    <row r="556" spans="1:9" x14ac:dyDescent="0.3">
      <c r="A556" s="1">
        <v>46112</v>
      </c>
      <c r="B556">
        <v>2026</v>
      </c>
      <c r="C556">
        <v>3</v>
      </c>
      <c r="D556" t="s">
        <v>50</v>
      </c>
      <c r="E556" t="s">
        <v>41</v>
      </c>
      <c r="F556" t="s">
        <v>30</v>
      </c>
      <c r="G556" t="s">
        <v>31</v>
      </c>
      <c r="H556">
        <v>2</v>
      </c>
      <c r="I556">
        <v>5000</v>
      </c>
    </row>
    <row r="557" spans="1:9" x14ac:dyDescent="0.3">
      <c r="A557" s="1">
        <v>46282</v>
      </c>
      <c r="B557">
        <v>2026</v>
      </c>
      <c r="C557">
        <v>9</v>
      </c>
      <c r="D557" t="s">
        <v>50</v>
      </c>
      <c r="E557" t="s">
        <v>41</v>
      </c>
      <c r="F557" t="s">
        <v>30</v>
      </c>
      <c r="G557" t="s">
        <v>31</v>
      </c>
      <c r="H557">
        <v>2</v>
      </c>
      <c r="I557">
        <v>5000</v>
      </c>
    </row>
    <row r="558" spans="1:9" x14ac:dyDescent="0.3">
      <c r="A558" s="1">
        <v>46187</v>
      </c>
      <c r="B558">
        <v>2026</v>
      </c>
      <c r="C558">
        <v>6</v>
      </c>
      <c r="D558" t="s">
        <v>44</v>
      </c>
      <c r="E558" t="s">
        <v>45</v>
      </c>
      <c r="F558" t="s">
        <v>30</v>
      </c>
      <c r="G558" t="s">
        <v>31</v>
      </c>
      <c r="H558">
        <v>4</v>
      </c>
      <c r="I558">
        <v>10000</v>
      </c>
    </row>
    <row r="559" spans="1:9" x14ac:dyDescent="0.3">
      <c r="A559" s="1">
        <v>46039</v>
      </c>
      <c r="B559">
        <v>2026</v>
      </c>
      <c r="C559">
        <v>1</v>
      </c>
      <c r="D559" t="s">
        <v>42</v>
      </c>
      <c r="E559" t="s">
        <v>43</v>
      </c>
      <c r="F559" t="s">
        <v>30</v>
      </c>
      <c r="G559" t="s">
        <v>31</v>
      </c>
      <c r="H559">
        <v>1</v>
      </c>
      <c r="I559">
        <v>2500</v>
      </c>
    </row>
    <row r="560" spans="1:9" x14ac:dyDescent="0.3">
      <c r="A560" s="1">
        <v>46161</v>
      </c>
      <c r="B560">
        <v>2026</v>
      </c>
      <c r="C560">
        <v>5</v>
      </c>
      <c r="D560" t="s">
        <v>42</v>
      </c>
      <c r="E560" t="s">
        <v>43</v>
      </c>
      <c r="F560" t="s">
        <v>30</v>
      </c>
      <c r="G560" t="s">
        <v>31</v>
      </c>
      <c r="H560">
        <v>2</v>
      </c>
      <c r="I560">
        <v>5000</v>
      </c>
    </row>
    <row r="561" spans="1:9" x14ac:dyDescent="0.3">
      <c r="A561" s="1">
        <v>46314</v>
      </c>
      <c r="B561">
        <v>2026</v>
      </c>
      <c r="C561">
        <v>10</v>
      </c>
      <c r="D561" t="s">
        <v>40</v>
      </c>
      <c r="E561" t="s">
        <v>41</v>
      </c>
      <c r="F561" t="s">
        <v>30</v>
      </c>
      <c r="G561" t="s">
        <v>31</v>
      </c>
      <c r="H561">
        <v>4</v>
      </c>
      <c r="I561">
        <v>10000</v>
      </c>
    </row>
    <row r="562" spans="1:9" x14ac:dyDescent="0.3">
      <c r="A562" s="1">
        <v>46190</v>
      </c>
      <c r="B562">
        <v>2026</v>
      </c>
      <c r="C562">
        <v>6</v>
      </c>
      <c r="D562" t="s">
        <v>49</v>
      </c>
      <c r="E562" t="s">
        <v>47</v>
      </c>
      <c r="F562" t="s">
        <v>30</v>
      </c>
      <c r="G562" t="s">
        <v>31</v>
      </c>
      <c r="H562">
        <v>3</v>
      </c>
      <c r="I562">
        <v>7500</v>
      </c>
    </row>
    <row r="563" spans="1:9" x14ac:dyDescent="0.3">
      <c r="A563" s="1">
        <v>46308</v>
      </c>
      <c r="B563">
        <v>2026</v>
      </c>
      <c r="C563">
        <v>10</v>
      </c>
      <c r="D563" t="s">
        <v>44</v>
      </c>
      <c r="E563" t="s">
        <v>45</v>
      </c>
      <c r="F563" t="s">
        <v>30</v>
      </c>
      <c r="G563" t="s">
        <v>31</v>
      </c>
      <c r="H563">
        <v>2</v>
      </c>
      <c r="I563">
        <v>5000</v>
      </c>
    </row>
    <row r="564" spans="1:9" x14ac:dyDescent="0.3">
      <c r="A564" s="1">
        <v>46068</v>
      </c>
      <c r="B564">
        <v>2026</v>
      </c>
      <c r="C564">
        <v>2</v>
      </c>
      <c r="D564" t="s">
        <v>46</v>
      </c>
      <c r="E564" t="s">
        <v>47</v>
      </c>
      <c r="F564" t="s">
        <v>30</v>
      </c>
      <c r="G564" t="s">
        <v>31</v>
      </c>
      <c r="H564">
        <v>1</v>
      </c>
      <c r="I564">
        <v>2500</v>
      </c>
    </row>
    <row r="565" spans="1:9" x14ac:dyDescent="0.3">
      <c r="A565" s="1">
        <v>46136</v>
      </c>
      <c r="B565">
        <v>2026</v>
      </c>
      <c r="C565">
        <v>4</v>
      </c>
      <c r="D565" t="s">
        <v>42</v>
      </c>
      <c r="E565" t="s">
        <v>43</v>
      </c>
      <c r="F565" t="s">
        <v>30</v>
      </c>
      <c r="G565" t="s">
        <v>31</v>
      </c>
      <c r="H565">
        <v>5</v>
      </c>
      <c r="I565">
        <v>12500</v>
      </c>
    </row>
    <row r="566" spans="1:9" x14ac:dyDescent="0.3">
      <c r="A566" s="1">
        <v>46261</v>
      </c>
      <c r="B566">
        <v>2026</v>
      </c>
      <c r="C566">
        <v>8</v>
      </c>
      <c r="D566" t="s">
        <v>50</v>
      </c>
      <c r="E566" t="s">
        <v>41</v>
      </c>
      <c r="F566" t="s">
        <v>30</v>
      </c>
      <c r="G566" t="s">
        <v>31</v>
      </c>
      <c r="H566">
        <v>2</v>
      </c>
      <c r="I566">
        <v>5000</v>
      </c>
    </row>
    <row r="567" spans="1:9" x14ac:dyDescent="0.3">
      <c r="A567" s="1">
        <v>46029</v>
      </c>
      <c r="B567">
        <v>2026</v>
      </c>
      <c r="C567">
        <v>1</v>
      </c>
      <c r="D567" t="s">
        <v>49</v>
      </c>
      <c r="E567" t="s">
        <v>47</v>
      </c>
      <c r="F567" t="s">
        <v>30</v>
      </c>
      <c r="G567" t="s">
        <v>31</v>
      </c>
      <c r="H567">
        <v>2</v>
      </c>
      <c r="I567">
        <v>5000</v>
      </c>
    </row>
    <row r="568" spans="1:9" x14ac:dyDescent="0.3">
      <c r="A568" s="1">
        <v>46226</v>
      </c>
      <c r="B568">
        <v>2026</v>
      </c>
      <c r="C568">
        <v>7</v>
      </c>
      <c r="D568" t="s">
        <v>50</v>
      </c>
      <c r="E568" t="s">
        <v>41</v>
      </c>
      <c r="F568" t="s">
        <v>30</v>
      </c>
      <c r="G568" t="s">
        <v>31</v>
      </c>
      <c r="H568">
        <v>2</v>
      </c>
      <c r="I568">
        <v>5000</v>
      </c>
    </row>
    <row r="569" spans="1:9" x14ac:dyDescent="0.3">
      <c r="A569" s="1">
        <v>46027</v>
      </c>
      <c r="B569">
        <v>2026</v>
      </c>
      <c r="C569">
        <v>1</v>
      </c>
      <c r="D569" t="s">
        <v>50</v>
      </c>
      <c r="E569" t="s">
        <v>41</v>
      </c>
      <c r="F569" t="s">
        <v>30</v>
      </c>
      <c r="G569" t="s">
        <v>31</v>
      </c>
      <c r="H569">
        <v>3</v>
      </c>
      <c r="I569">
        <v>7500</v>
      </c>
    </row>
    <row r="570" spans="1:9" x14ac:dyDescent="0.3">
      <c r="A570" s="1">
        <v>46124</v>
      </c>
      <c r="B570">
        <v>2026</v>
      </c>
      <c r="C570">
        <v>4</v>
      </c>
      <c r="D570" t="s">
        <v>49</v>
      </c>
      <c r="E570" t="s">
        <v>47</v>
      </c>
      <c r="F570" t="s">
        <v>30</v>
      </c>
      <c r="G570" t="s">
        <v>31</v>
      </c>
      <c r="H570">
        <v>1</v>
      </c>
      <c r="I570">
        <v>2500</v>
      </c>
    </row>
    <row r="571" spans="1:9" x14ac:dyDescent="0.3">
      <c r="A571" s="1">
        <v>46239</v>
      </c>
      <c r="B571">
        <v>2026</v>
      </c>
      <c r="C571">
        <v>8</v>
      </c>
      <c r="D571" t="s">
        <v>40</v>
      </c>
      <c r="E571" t="s">
        <v>41</v>
      </c>
      <c r="F571" t="s">
        <v>30</v>
      </c>
      <c r="G571" t="s">
        <v>31</v>
      </c>
      <c r="H571">
        <v>2</v>
      </c>
      <c r="I571">
        <v>5000</v>
      </c>
    </row>
    <row r="572" spans="1:9" x14ac:dyDescent="0.3">
      <c r="A572" s="1">
        <v>46116</v>
      </c>
      <c r="B572">
        <v>2026</v>
      </c>
      <c r="C572">
        <v>4</v>
      </c>
      <c r="D572" t="s">
        <v>46</v>
      </c>
      <c r="E572" t="s">
        <v>47</v>
      </c>
      <c r="F572" t="s">
        <v>30</v>
      </c>
      <c r="G572" t="s">
        <v>31</v>
      </c>
      <c r="H572">
        <v>5</v>
      </c>
      <c r="I572">
        <v>12500</v>
      </c>
    </row>
    <row r="573" spans="1:9" x14ac:dyDescent="0.3">
      <c r="A573" s="1">
        <v>46128</v>
      </c>
      <c r="B573">
        <v>2026</v>
      </c>
      <c r="C573">
        <v>4</v>
      </c>
      <c r="D573" t="s">
        <v>42</v>
      </c>
      <c r="E573" t="s">
        <v>43</v>
      </c>
      <c r="F573" t="s">
        <v>30</v>
      </c>
      <c r="G573" t="s">
        <v>31</v>
      </c>
      <c r="H573">
        <v>2</v>
      </c>
      <c r="I573">
        <v>5000</v>
      </c>
    </row>
    <row r="574" spans="1:9" x14ac:dyDescent="0.3">
      <c r="A574" s="1">
        <v>46262</v>
      </c>
      <c r="B574">
        <v>2026</v>
      </c>
      <c r="C574">
        <v>8</v>
      </c>
      <c r="D574" t="s">
        <v>49</v>
      </c>
      <c r="E574" t="s">
        <v>47</v>
      </c>
      <c r="F574" t="s">
        <v>30</v>
      </c>
      <c r="G574" t="s">
        <v>31</v>
      </c>
      <c r="H574">
        <v>4</v>
      </c>
      <c r="I574">
        <v>10000</v>
      </c>
    </row>
    <row r="575" spans="1:9" x14ac:dyDescent="0.3">
      <c r="A575" s="1">
        <v>46262</v>
      </c>
      <c r="B575">
        <v>2026</v>
      </c>
      <c r="C575">
        <v>8</v>
      </c>
      <c r="D575" t="s">
        <v>40</v>
      </c>
      <c r="E575" t="s">
        <v>41</v>
      </c>
      <c r="F575" t="s">
        <v>30</v>
      </c>
      <c r="G575" t="s">
        <v>31</v>
      </c>
      <c r="H575">
        <v>5</v>
      </c>
      <c r="I575">
        <v>12500</v>
      </c>
    </row>
    <row r="576" spans="1:9" x14ac:dyDescent="0.3">
      <c r="A576" s="1">
        <v>46322</v>
      </c>
      <c r="B576">
        <v>2026</v>
      </c>
      <c r="C576">
        <v>10</v>
      </c>
      <c r="D576" t="s">
        <v>46</v>
      </c>
      <c r="E576" t="s">
        <v>47</v>
      </c>
      <c r="F576" t="s">
        <v>30</v>
      </c>
      <c r="G576" t="s">
        <v>31</v>
      </c>
      <c r="H576">
        <v>1</v>
      </c>
      <c r="I576">
        <v>2500</v>
      </c>
    </row>
    <row r="577" spans="1:9" x14ac:dyDescent="0.3">
      <c r="A577" s="1">
        <v>46091</v>
      </c>
      <c r="B577">
        <v>2026</v>
      </c>
      <c r="C577">
        <v>3</v>
      </c>
      <c r="D577" t="s">
        <v>40</v>
      </c>
      <c r="E577" t="s">
        <v>41</v>
      </c>
      <c r="F577" t="s">
        <v>30</v>
      </c>
      <c r="G577" t="s">
        <v>31</v>
      </c>
      <c r="H577">
        <v>4</v>
      </c>
      <c r="I577">
        <v>10000</v>
      </c>
    </row>
    <row r="578" spans="1:9" x14ac:dyDescent="0.3">
      <c r="A578" s="1">
        <v>46254</v>
      </c>
      <c r="B578">
        <v>2026</v>
      </c>
      <c r="C578">
        <v>8</v>
      </c>
      <c r="D578" t="s">
        <v>48</v>
      </c>
      <c r="E578" t="s">
        <v>43</v>
      </c>
      <c r="F578" t="s">
        <v>30</v>
      </c>
      <c r="G578" t="s">
        <v>31</v>
      </c>
      <c r="H578">
        <v>1</v>
      </c>
      <c r="I578">
        <v>2500</v>
      </c>
    </row>
    <row r="579" spans="1:9" x14ac:dyDescent="0.3">
      <c r="A579" s="1">
        <v>46160</v>
      </c>
      <c r="B579">
        <v>2026</v>
      </c>
      <c r="C579">
        <v>5</v>
      </c>
      <c r="D579" t="s">
        <v>51</v>
      </c>
      <c r="E579" t="s">
        <v>45</v>
      </c>
      <c r="F579" t="s">
        <v>30</v>
      </c>
      <c r="G579" t="s">
        <v>31</v>
      </c>
      <c r="H579">
        <v>4</v>
      </c>
      <c r="I579">
        <v>10000</v>
      </c>
    </row>
    <row r="580" spans="1:9" x14ac:dyDescent="0.3">
      <c r="A580" s="1">
        <v>46313</v>
      </c>
      <c r="B580">
        <v>2026</v>
      </c>
      <c r="C580">
        <v>10</v>
      </c>
      <c r="D580" t="s">
        <v>50</v>
      </c>
      <c r="E580" t="s">
        <v>41</v>
      </c>
      <c r="F580" t="s">
        <v>30</v>
      </c>
      <c r="G580" t="s">
        <v>31</v>
      </c>
      <c r="H580">
        <v>2</v>
      </c>
      <c r="I580">
        <v>5000</v>
      </c>
    </row>
    <row r="581" spans="1:9" x14ac:dyDescent="0.3">
      <c r="A581" s="1">
        <v>46123</v>
      </c>
      <c r="B581">
        <v>2026</v>
      </c>
      <c r="C581">
        <v>4</v>
      </c>
      <c r="D581" t="s">
        <v>42</v>
      </c>
      <c r="E581" t="s">
        <v>43</v>
      </c>
      <c r="F581" t="s">
        <v>30</v>
      </c>
      <c r="G581" t="s">
        <v>31</v>
      </c>
      <c r="H581">
        <v>5</v>
      </c>
      <c r="I581">
        <v>12500</v>
      </c>
    </row>
    <row r="582" spans="1:9" x14ac:dyDescent="0.3">
      <c r="A582" s="1">
        <v>46177</v>
      </c>
      <c r="B582">
        <v>2026</v>
      </c>
      <c r="C582">
        <v>6</v>
      </c>
      <c r="D582" t="s">
        <v>46</v>
      </c>
      <c r="E582" t="s">
        <v>47</v>
      </c>
      <c r="F582" t="s">
        <v>30</v>
      </c>
      <c r="G582" t="s">
        <v>31</v>
      </c>
      <c r="H582">
        <v>4</v>
      </c>
      <c r="I582">
        <v>10000</v>
      </c>
    </row>
    <row r="583" spans="1:9" x14ac:dyDescent="0.3">
      <c r="A583" s="1">
        <v>46260</v>
      </c>
      <c r="B583">
        <v>2026</v>
      </c>
      <c r="C583">
        <v>8</v>
      </c>
      <c r="D583" t="s">
        <v>42</v>
      </c>
      <c r="E583" t="s">
        <v>43</v>
      </c>
      <c r="F583" t="s">
        <v>30</v>
      </c>
      <c r="G583" t="s">
        <v>31</v>
      </c>
      <c r="H583">
        <v>1</v>
      </c>
      <c r="I583">
        <v>2500</v>
      </c>
    </row>
    <row r="584" spans="1:9" x14ac:dyDescent="0.3">
      <c r="A584" s="1">
        <v>46197</v>
      </c>
      <c r="B584">
        <v>2026</v>
      </c>
      <c r="C584">
        <v>6</v>
      </c>
      <c r="D584" t="s">
        <v>46</v>
      </c>
      <c r="E584" t="s">
        <v>47</v>
      </c>
      <c r="F584" t="s">
        <v>30</v>
      </c>
      <c r="G584" t="s">
        <v>31</v>
      </c>
      <c r="H584">
        <v>5</v>
      </c>
      <c r="I584">
        <v>12500</v>
      </c>
    </row>
    <row r="585" spans="1:9" x14ac:dyDescent="0.3">
      <c r="A585" s="1">
        <v>46289</v>
      </c>
      <c r="B585">
        <v>2026</v>
      </c>
      <c r="C585">
        <v>9</v>
      </c>
      <c r="D585" t="s">
        <v>49</v>
      </c>
      <c r="E585" t="s">
        <v>47</v>
      </c>
      <c r="F585" t="s">
        <v>30</v>
      </c>
      <c r="G585" t="s">
        <v>31</v>
      </c>
      <c r="H585">
        <v>2</v>
      </c>
      <c r="I585">
        <v>5000</v>
      </c>
    </row>
    <row r="586" spans="1:9" x14ac:dyDescent="0.3">
      <c r="A586" s="1">
        <v>46192</v>
      </c>
      <c r="B586">
        <v>2026</v>
      </c>
      <c r="C586">
        <v>6</v>
      </c>
      <c r="D586" t="s">
        <v>44</v>
      </c>
      <c r="E586" t="s">
        <v>45</v>
      </c>
      <c r="F586" t="s">
        <v>30</v>
      </c>
      <c r="G586" t="s">
        <v>31</v>
      </c>
      <c r="H586">
        <v>2</v>
      </c>
      <c r="I586">
        <v>5000</v>
      </c>
    </row>
    <row r="587" spans="1:9" x14ac:dyDescent="0.3">
      <c r="A587" s="1">
        <v>46198</v>
      </c>
      <c r="B587">
        <v>2026</v>
      </c>
      <c r="C587">
        <v>6</v>
      </c>
      <c r="D587" t="s">
        <v>49</v>
      </c>
      <c r="E587" t="s">
        <v>47</v>
      </c>
      <c r="F587" t="s">
        <v>30</v>
      </c>
      <c r="G587" t="s">
        <v>31</v>
      </c>
      <c r="H587">
        <v>2</v>
      </c>
      <c r="I587">
        <v>5000</v>
      </c>
    </row>
    <row r="588" spans="1:9" x14ac:dyDescent="0.3">
      <c r="A588" s="1">
        <v>46257</v>
      </c>
      <c r="B588">
        <v>2026</v>
      </c>
      <c r="C588">
        <v>8</v>
      </c>
      <c r="D588" t="s">
        <v>51</v>
      </c>
      <c r="E588" t="s">
        <v>45</v>
      </c>
      <c r="F588" t="s">
        <v>30</v>
      </c>
      <c r="G588" t="s">
        <v>31</v>
      </c>
      <c r="H588">
        <v>1</v>
      </c>
      <c r="I588">
        <v>2500</v>
      </c>
    </row>
    <row r="589" spans="1:9" x14ac:dyDescent="0.3">
      <c r="A589" s="1">
        <v>46208</v>
      </c>
      <c r="B589">
        <v>2026</v>
      </c>
      <c r="C589">
        <v>7</v>
      </c>
      <c r="D589" t="s">
        <v>46</v>
      </c>
      <c r="E589" t="s">
        <v>47</v>
      </c>
      <c r="F589" t="s">
        <v>30</v>
      </c>
      <c r="G589" t="s">
        <v>31</v>
      </c>
      <c r="H589">
        <v>5</v>
      </c>
      <c r="I589">
        <v>12500</v>
      </c>
    </row>
    <row r="590" spans="1:9" x14ac:dyDescent="0.3">
      <c r="A590" s="1">
        <v>46094</v>
      </c>
      <c r="B590">
        <v>2026</v>
      </c>
      <c r="C590">
        <v>3</v>
      </c>
      <c r="D590" t="s">
        <v>49</v>
      </c>
      <c r="E590" t="s">
        <v>47</v>
      </c>
      <c r="F590" t="s">
        <v>30</v>
      </c>
      <c r="G590" t="s">
        <v>31</v>
      </c>
      <c r="H590">
        <v>4</v>
      </c>
      <c r="I590">
        <v>10000</v>
      </c>
    </row>
    <row r="591" spans="1:9" x14ac:dyDescent="0.3">
      <c r="A591" s="1">
        <v>46147</v>
      </c>
      <c r="B591">
        <v>2026</v>
      </c>
      <c r="C591">
        <v>5</v>
      </c>
      <c r="D591" t="s">
        <v>40</v>
      </c>
      <c r="E591" t="s">
        <v>41</v>
      </c>
      <c r="F591" t="s">
        <v>30</v>
      </c>
      <c r="G591" t="s">
        <v>31</v>
      </c>
      <c r="H591">
        <v>3</v>
      </c>
      <c r="I591">
        <v>7500</v>
      </c>
    </row>
    <row r="592" spans="1:9" x14ac:dyDescent="0.3">
      <c r="A592" s="1">
        <v>46238</v>
      </c>
      <c r="B592">
        <v>2026</v>
      </c>
      <c r="C592">
        <v>8</v>
      </c>
      <c r="D592" t="s">
        <v>44</v>
      </c>
      <c r="E592" t="s">
        <v>45</v>
      </c>
      <c r="F592" t="s">
        <v>30</v>
      </c>
      <c r="G592" t="s">
        <v>31</v>
      </c>
      <c r="H592">
        <v>1</v>
      </c>
      <c r="I592">
        <v>2500</v>
      </c>
    </row>
    <row r="593" spans="1:9" x14ac:dyDescent="0.3">
      <c r="A593" s="1">
        <v>46089</v>
      </c>
      <c r="B593">
        <v>2026</v>
      </c>
      <c r="C593">
        <v>3</v>
      </c>
      <c r="D593" t="s">
        <v>49</v>
      </c>
      <c r="E593" t="s">
        <v>47</v>
      </c>
      <c r="F593" t="s">
        <v>30</v>
      </c>
      <c r="G593" t="s">
        <v>31</v>
      </c>
      <c r="H593">
        <v>5</v>
      </c>
      <c r="I593">
        <v>12500</v>
      </c>
    </row>
    <row r="594" spans="1:9" x14ac:dyDescent="0.3">
      <c r="A594" s="1">
        <v>46226</v>
      </c>
      <c r="B594">
        <v>2026</v>
      </c>
      <c r="C594">
        <v>7</v>
      </c>
      <c r="D594" t="s">
        <v>49</v>
      </c>
      <c r="E594" t="s">
        <v>47</v>
      </c>
      <c r="F594" t="s">
        <v>30</v>
      </c>
      <c r="G594" t="s">
        <v>31</v>
      </c>
      <c r="H594">
        <v>3</v>
      </c>
      <c r="I594">
        <v>7500</v>
      </c>
    </row>
    <row r="595" spans="1:9" x14ac:dyDescent="0.3">
      <c r="A595" s="1">
        <v>46284</v>
      </c>
      <c r="B595">
        <v>2026</v>
      </c>
      <c r="C595">
        <v>9</v>
      </c>
      <c r="D595" t="s">
        <v>49</v>
      </c>
      <c r="E595" t="s">
        <v>47</v>
      </c>
      <c r="F595" t="s">
        <v>30</v>
      </c>
      <c r="G595" t="s">
        <v>31</v>
      </c>
      <c r="H595">
        <v>1</v>
      </c>
      <c r="I595">
        <v>2500</v>
      </c>
    </row>
    <row r="596" spans="1:9" x14ac:dyDescent="0.3">
      <c r="A596" s="1">
        <v>46320</v>
      </c>
      <c r="B596">
        <v>2026</v>
      </c>
      <c r="C596">
        <v>10</v>
      </c>
      <c r="D596" t="s">
        <v>49</v>
      </c>
      <c r="E596" t="s">
        <v>47</v>
      </c>
      <c r="F596" t="s">
        <v>30</v>
      </c>
      <c r="G596" t="s">
        <v>31</v>
      </c>
      <c r="H596">
        <v>5</v>
      </c>
      <c r="I596">
        <v>12500</v>
      </c>
    </row>
    <row r="597" spans="1:9" x14ac:dyDescent="0.3">
      <c r="A597" s="1">
        <v>46029</v>
      </c>
      <c r="B597">
        <v>2026</v>
      </c>
      <c r="C597">
        <v>1</v>
      </c>
      <c r="D597" t="s">
        <v>46</v>
      </c>
      <c r="E597" t="s">
        <v>47</v>
      </c>
      <c r="F597" t="s">
        <v>30</v>
      </c>
      <c r="G597" t="s">
        <v>31</v>
      </c>
      <c r="H597">
        <v>3</v>
      </c>
      <c r="I597">
        <v>7500</v>
      </c>
    </row>
    <row r="598" spans="1:9" x14ac:dyDescent="0.3">
      <c r="A598" s="1">
        <v>46100</v>
      </c>
      <c r="B598">
        <v>2026</v>
      </c>
      <c r="C598">
        <v>3</v>
      </c>
      <c r="D598" t="s">
        <v>42</v>
      </c>
      <c r="E598" t="s">
        <v>43</v>
      </c>
      <c r="F598" t="s">
        <v>30</v>
      </c>
      <c r="G598" t="s">
        <v>31</v>
      </c>
      <c r="H598">
        <v>4</v>
      </c>
      <c r="I598">
        <v>10000</v>
      </c>
    </row>
    <row r="599" spans="1:9" x14ac:dyDescent="0.3">
      <c r="A599" s="1">
        <v>46288</v>
      </c>
      <c r="B599">
        <v>2026</v>
      </c>
      <c r="C599">
        <v>9</v>
      </c>
      <c r="D599" t="s">
        <v>42</v>
      </c>
      <c r="E599" t="s">
        <v>43</v>
      </c>
      <c r="F599" t="s">
        <v>30</v>
      </c>
      <c r="G599" t="s">
        <v>31</v>
      </c>
      <c r="H599">
        <v>1</v>
      </c>
      <c r="I599">
        <v>2500</v>
      </c>
    </row>
    <row r="600" spans="1:9" x14ac:dyDescent="0.3">
      <c r="A600" s="1">
        <v>46179</v>
      </c>
      <c r="B600">
        <v>2026</v>
      </c>
      <c r="C600">
        <v>6</v>
      </c>
      <c r="D600" t="s">
        <v>42</v>
      </c>
      <c r="E600" t="s">
        <v>43</v>
      </c>
      <c r="F600" t="s">
        <v>30</v>
      </c>
      <c r="G600" t="s">
        <v>31</v>
      </c>
      <c r="H600">
        <v>1</v>
      </c>
      <c r="I600">
        <v>2500</v>
      </c>
    </row>
    <row r="601" spans="1:9" x14ac:dyDescent="0.3">
      <c r="A601" s="1">
        <v>46261</v>
      </c>
      <c r="B601">
        <v>2026</v>
      </c>
      <c r="C601">
        <v>8</v>
      </c>
      <c r="D601" t="s">
        <v>50</v>
      </c>
      <c r="E601" t="s">
        <v>41</v>
      </c>
      <c r="F601" t="s">
        <v>30</v>
      </c>
      <c r="G601" t="s">
        <v>31</v>
      </c>
      <c r="H601">
        <v>5</v>
      </c>
      <c r="I601">
        <v>12500</v>
      </c>
    </row>
    <row r="602" spans="1:9" x14ac:dyDescent="0.3">
      <c r="A602" s="1">
        <v>46153</v>
      </c>
      <c r="B602">
        <v>2026</v>
      </c>
      <c r="C602">
        <v>5</v>
      </c>
      <c r="D602" t="s">
        <v>40</v>
      </c>
      <c r="E602" t="s">
        <v>41</v>
      </c>
      <c r="F602" t="s">
        <v>30</v>
      </c>
      <c r="G602" t="s">
        <v>31</v>
      </c>
      <c r="H602">
        <v>2</v>
      </c>
      <c r="I602">
        <v>5000</v>
      </c>
    </row>
    <row r="603" spans="1:9" x14ac:dyDescent="0.3">
      <c r="A603" s="1">
        <v>46229</v>
      </c>
      <c r="B603">
        <v>2026</v>
      </c>
      <c r="C603">
        <v>7</v>
      </c>
      <c r="D603" t="s">
        <v>44</v>
      </c>
      <c r="E603" t="s">
        <v>45</v>
      </c>
      <c r="F603" t="s">
        <v>30</v>
      </c>
      <c r="G603" t="s">
        <v>31</v>
      </c>
      <c r="H603">
        <v>1</v>
      </c>
      <c r="I603">
        <v>2500</v>
      </c>
    </row>
    <row r="604" spans="1:9" x14ac:dyDescent="0.3">
      <c r="A604" s="1">
        <v>46187</v>
      </c>
      <c r="B604">
        <v>2026</v>
      </c>
      <c r="C604">
        <v>6</v>
      </c>
      <c r="D604" t="s">
        <v>49</v>
      </c>
      <c r="E604" t="s">
        <v>47</v>
      </c>
      <c r="F604" t="s">
        <v>30</v>
      </c>
      <c r="G604" t="s">
        <v>31</v>
      </c>
      <c r="H604">
        <v>5</v>
      </c>
      <c r="I604">
        <v>12500</v>
      </c>
    </row>
    <row r="605" spans="1:9" x14ac:dyDescent="0.3">
      <c r="A605" s="1">
        <v>46313</v>
      </c>
      <c r="B605">
        <v>2026</v>
      </c>
      <c r="C605">
        <v>10</v>
      </c>
      <c r="D605" t="s">
        <v>48</v>
      </c>
      <c r="E605" t="s">
        <v>43</v>
      </c>
      <c r="F605" t="s">
        <v>30</v>
      </c>
      <c r="G605" t="s">
        <v>31</v>
      </c>
      <c r="H605">
        <v>2</v>
      </c>
      <c r="I605">
        <v>5000</v>
      </c>
    </row>
    <row r="606" spans="1:9" x14ac:dyDescent="0.3">
      <c r="A606" s="1">
        <v>46301</v>
      </c>
      <c r="B606">
        <v>2026</v>
      </c>
      <c r="C606">
        <v>10</v>
      </c>
      <c r="D606" t="s">
        <v>44</v>
      </c>
      <c r="E606" t="s">
        <v>45</v>
      </c>
      <c r="F606" t="s">
        <v>30</v>
      </c>
      <c r="G606" t="s">
        <v>31</v>
      </c>
      <c r="H606">
        <v>1</v>
      </c>
      <c r="I606">
        <v>2500</v>
      </c>
    </row>
    <row r="607" spans="1:9" x14ac:dyDescent="0.3">
      <c r="A607" s="1">
        <v>46151</v>
      </c>
      <c r="B607">
        <v>2026</v>
      </c>
      <c r="C607">
        <v>5</v>
      </c>
      <c r="D607" t="s">
        <v>46</v>
      </c>
      <c r="E607" t="s">
        <v>47</v>
      </c>
      <c r="F607" t="s">
        <v>30</v>
      </c>
      <c r="G607" t="s">
        <v>31</v>
      </c>
      <c r="H607">
        <v>5</v>
      </c>
      <c r="I607">
        <v>12500</v>
      </c>
    </row>
    <row r="608" spans="1:9" x14ac:dyDescent="0.3">
      <c r="A608" s="1">
        <v>46285</v>
      </c>
      <c r="B608">
        <v>2026</v>
      </c>
      <c r="C608">
        <v>9</v>
      </c>
      <c r="D608" t="s">
        <v>42</v>
      </c>
      <c r="E608" t="s">
        <v>43</v>
      </c>
      <c r="F608" t="s">
        <v>30</v>
      </c>
      <c r="G608" t="s">
        <v>31</v>
      </c>
      <c r="H608">
        <v>2</v>
      </c>
      <c r="I608">
        <v>5000</v>
      </c>
    </row>
    <row r="609" spans="1:9" x14ac:dyDescent="0.3">
      <c r="A609" s="1">
        <v>46131</v>
      </c>
      <c r="B609">
        <v>2026</v>
      </c>
      <c r="C609">
        <v>4</v>
      </c>
      <c r="D609" t="s">
        <v>46</v>
      </c>
      <c r="E609" t="s">
        <v>47</v>
      </c>
      <c r="F609" t="s">
        <v>30</v>
      </c>
      <c r="G609" t="s">
        <v>31</v>
      </c>
      <c r="H609">
        <v>5</v>
      </c>
      <c r="I609">
        <v>12500</v>
      </c>
    </row>
    <row r="610" spans="1:9" x14ac:dyDescent="0.3">
      <c r="A610" s="1">
        <v>46183</v>
      </c>
      <c r="B610">
        <v>2026</v>
      </c>
      <c r="C610">
        <v>6</v>
      </c>
      <c r="D610" t="s">
        <v>50</v>
      </c>
      <c r="E610" t="s">
        <v>41</v>
      </c>
      <c r="F610" t="s">
        <v>30</v>
      </c>
      <c r="G610" t="s">
        <v>31</v>
      </c>
      <c r="H610">
        <v>2</v>
      </c>
      <c r="I610">
        <v>5000</v>
      </c>
    </row>
    <row r="611" spans="1:9" x14ac:dyDescent="0.3">
      <c r="A611" s="1">
        <v>46092</v>
      </c>
      <c r="B611">
        <v>2026</v>
      </c>
      <c r="C611">
        <v>3</v>
      </c>
      <c r="D611" t="s">
        <v>46</v>
      </c>
      <c r="E611" t="s">
        <v>47</v>
      </c>
      <c r="F611" t="s">
        <v>30</v>
      </c>
      <c r="G611" t="s">
        <v>31</v>
      </c>
      <c r="H611">
        <v>1</v>
      </c>
      <c r="I611">
        <v>2500</v>
      </c>
    </row>
    <row r="612" spans="1:9" x14ac:dyDescent="0.3">
      <c r="A612" s="1">
        <v>46118</v>
      </c>
      <c r="B612">
        <v>2026</v>
      </c>
      <c r="C612">
        <v>4</v>
      </c>
      <c r="D612" t="s">
        <v>48</v>
      </c>
      <c r="E612" t="s">
        <v>43</v>
      </c>
      <c r="F612" t="s">
        <v>30</v>
      </c>
      <c r="G612" t="s">
        <v>31</v>
      </c>
      <c r="H612">
        <v>5</v>
      </c>
      <c r="I612">
        <v>12500</v>
      </c>
    </row>
    <row r="613" spans="1:9" x14ac:dyDescent="0.3">
      <c r="A613" s="1">
        <v>46025</v>
      </c>
      <c r="B613">
        <v>2026</v>
      </c>
      <c r="C613">
        <v>1</v>
      </c>
      <c r="D613" t="s">
        <v>46</v>
      </c>
      <c r="E613" t="s">
        <v>47</v>
      </c>
      <c r="F613" t="s">
        <v>30</v>
      </c>
      <c r="G613" t="s">
        <v>31</v>
      </c>
      <c r="H613">
        <v>5</v>
      </c>
      <c r="I613">
        <v>12500</v>
      </c>
    </row>
    <row r="614" spans="1:9" x14ac:dyDescent="0.3">
      <c r="A614" s="1">
        <v>46116</v>
      </c>
      <c r="B614">
        <v>2026</v>
      </c>
      <c r="C614">
        <v>4</v>
      </c>
      <c r="D614" t="s">
        <v>44</v>
      </c>
      <c r="E614" t="s">
        <v>45</v>
      </c>
      <c r="F614" t="s">
        <v>30</v>
      </c>
      <c r="G614" t="s">
        <v>31</v>
      </c>
      <c r="H614">
        <v>5</v>
      </c>
      <c r="I614">
        <v>12500</v>
      </c>
    </row>
    <row r="615" spans="1:9" x14ac:dyDescent="0.3">
      <c r="A615" s="1">
        <v>46169</v>
      </c>
      <c r="B615">
        <v>2026</v>
      </c>
      <c r="C615">
        <v>5</v>
      </c>
      <c r="D615" t="s">
        <v>50</v>
      </c>
      <c r="E615" t="s">
        <v>41</v>
      </c>
      <c r="F615" t="s">
        <v>30</v>
      </c>
      <c r="G615" t="s">
        <v>31</v>
      </c>
      <c r="H615">
        <v>5</v>
      </c>
      <c r="I615">
        <v>12500</v>
      </c>
    </row>
    <row r="616" spans="1:9" x14ac:dyDescent="0.3">
      <c r="A616" s="1">
        <v>46068</v>
      </c>
      <c r="B616">
        <v>2026</v>
      </c>
      <c r="C616">
        <v>2</v>
      </c>
      <c r="D616" t="s">
        <v>44</v>
      </c>
      <c r="E616" t="s">
        <v>45</v>
      </c>
      <c r="F616" t="s">
        <v>30</v>
      </c>
      <c r="G616" t="s">
        <v>31</v>
      </c>
      <c r="H616">
        <v>1</v>
      </c>
      <c r="I616">
        <v>2500</v>
      </c>
    </row>
    <row r="617" spans="1:9" x14ac:dyDescent="0.3">
      <c r="A617" s="1">
        <v>46197</v>
      </c>
      <c r="B617">
        <v>2026</v>
      </c>
      <c r="C617">
        <v>6</v>
      </c>
      <c r="D617" t="s">
        <v>44</v>
      </c>
      <c r="E617" t="s">
        <v>45</v>
      </c>
      <c r="F617" t="s">
        <v>30</v>
      </c>
      <c r="G617" t="s">
        <v>31</v>
      </c>
      <c r="H617">
        <v>2</v>
      </c>
      <c r="I617">
        <v>5000</v>
      </c>
    </row>
    <row r="618" spans="1:9" x14ac:dyDescent="0.3">
      <c r="A618" s="1">
        <v>46072</v>
      </c>
      <c r="B618">
        <v>2026</v>
      </c>
      <c r="C618">
        <v>2</v>
      </c>
      <c r="D618" t="s">
        <v>50</v>
      </c>
      <c r="E618" t="s">
        <v>41</v>
      </c>
      <c r="F618" t="s">
        <v>30</v>
      </c>
      <c r="G618" t="s">
        <v>31</v>
      </c>
      <c r="H618">
        <v>5</v>
      </c>
      <c r="I618">
        <v>12500</v>
      </c>
    </row>
    <row r="619" spans="1:9" x14ac:dyDescent="0.3">
      <c r="A619" s="1">
        <v>46076</v>
      </c>
      <c r="B619">
        <v>2026</v>
      </c>
      <c r="C619">
        <v>2</v>
      </c>
      <c r="D619" t="s">
        <v>40</v>
      </c>
      <c r="E619" t="s">
        <v>41</v>
      </c>
      <c r="F619" t="s">
        <v>30</v>
      </c>
      <c r="G619" t="s">
        <v>31</v>
      </c>
      <c r="H619">
        <v>4</v>
      </c>
      <c r="I619">
        <v>10000</v>
      </c>
    </row>
    <row r="620" spans="1:9" x14ac:dyDescent="0.3">
      <c r="A620" s="1">
        <v>46157</v>
      </c>
      <c r="B620">
        <v>2026</v>
      </c>
      <c r="C620">
        <v>5</v>
      </c>
      <c r="D620" t="s">
        <v>49</v>
      </c>
      <c r="E620" t="s">
        <v>47</v>
      </c>
      <c r="F620" t="s">
        <v>30</v>
      </c>
      <c r="G620" t="s">
        <v>31</v>
      </c>
      <c r="H620">
        <v>2</v>
      </c>
      <c r="I620">
        <v>5000</v>
      </c>
    </row>
    <row r="621" spans="1:9" x14ac:dyDescent="0.3">
      <c r="A621" s="1">
        <v>46070</v>
      </c>
      <c r="B621">
        <v>2026</v>
      </c>
      <c r="C621">
        <v>2</v>
      </c>
      <c r="D621" t="s">
        <v>42</v>
      </c>
      <c r="E621" t="s">
        <v>43</v>
      </c>
      <c r="F621" t="s">
        <v>30</v>
      </c>
      <c r="G621" t="s">
        <v>31</v>
      </c>
      <c r="H621">
        <v>4</v>
      </c>
      <c r="I621">
        <v>10000</v>
      </c>
    </row>
    <row r="622" spans="1:9" x14ac:dyDescent="0.3">
      <c r="A622" s="1">
        <v>46170</v>
      </c>
      <c r="B622">
        <v>2026</v>
      </c>
      <c r="C622">
        <v>5</v>
      </c>
      <c r="D622" t="s">
        <v>51</v>
      </c>
      <c r="E622" t="s">
        <v>45</v>
      </c>
      <c r="F622" t="s">
        <v>30</v>
      </c>
      <c r="G622" t="s">
        <v>31</v>
      </c>
      <c r="H622">
        <v>3</v>
      </c>
      <c r="I622">
        <v>7500</v>
      </c>
    </row>
    <row r="623" spans="1:9" x14ac:dyDescent="0.3">
      <c r="A623" s="1">
        <v>46126</v>
      </c>
      <c r="B623">
        <v>2026</v>
      </c>
      <c r="C623">
        <v>4</v>
      </c>
      <c r="D623" t="s">
        <v>40</v>
      </c>
      <c r="E623" t="s">
        <v>41</v>
      </c>
      <c r="F623" t="s">
        <v>30</v>
      </c>
      <c r="G623" t="s">
        <v>31</v>
      </c>
      <c r="H623">
        <v>5</v>
      </c>
      <c r="I623">
        <v>12500</v>
      </c>
    </row>
    <row r="624" spans="1:9" x14ac:dyDescent="0.3">
      <c r="A624" s="1">
        <v>46071</v>
      </c>
      <c r="B624">
        <v>2026</v>
      </c>
      <c r="C624">
        <v>2</v>
      </c>
      <c r="D624" t="s">
        <v>48</v>
      </c>
      <c r="E624" t="s">
        <v>43</v>
      </c>
      <c r="F624" t="s">
        <v>30</v>
      </c>
      <c r="G624" t="s">
        <v>31</v>
      </c>
      <c r="H624">
        <v>5</v>
      </c>
      <c r="I624">
        <v>12500</v>
      </c>
    </row>
    <row r="625" spans="1:9" x14ac:dyDescent="0.3">
      <c r="A625" s="1">
        <v>46097</v>
      </c>
      <c r="B625">
        <v>2026</v>
      </c>
      <c r="C625">
        <v>3</v>
      </c>
      <c r="D625" t="s">
        <v>42</v>
      </c>
      <c r="E625" t="s">
        <v>43</v>
      </c>
      <c r="F625" t="s">
        <v>30</v>
      </c>
      <c r="G625" t="s">
        <v>31</v>
      </c>
      <c r="H625">
        <v>5</v>
      </c>
      <c r="I625">
        <v>12500</v>
      </c>
    </row>
    <row r="626" spans="1:9" x14ac:dyDescent="0.3">
      <c r="A626" s="1">
        <v>46154</v>
      </c>
      <c r="B626">
        <v>2026</v>
      </c>
      <c r="C626">
        <v>5</v>
      </c>
      <c r="D626" t="s">
        <v>44</v>
      </c>
      <c r="E626" t="s">
        <v>45</v>
      </c>
      <c r="F626" t="s">
        <v>30</v>
      </c>
      <c r="G626" t="s">
        <v>31</v>
      </c>
      <c r="H626">
        <v>5</v>
      </c>
      <c r="I626">
        <v>12500</v>
      </c>
    </row>
    <row r="627" spans="1:9" x14ac:dyDescent="0.3">
      <c r="A627" s="1">
        <v>46057</v>
      </c>
      <c r="B627">
        <v>2026</v>
      </c>
      <c r="C627">
        <v>2</v>
      </c>
      <c r="D627" t="s">
        <v>46</v>
      </c>
      <c r="E627" t="s">
        <v>47</v>
      </c>
      <c r="F627" t="s">
        <v>30</v>
      </c>
      <c r="G627" t="s">
        <v>31</v>
      </c>
      <c r="H627">
        <v>5</v>
      </c>
      <c r="I627">
        <v>12500</v>
      </c>
    </row>
    <row r="628" spans="1:9" x14ac:dyDescent="0.3">
      <c r="A628" s="1">
        <v>46075</v>
      </c>
      <c r="B628">
        <v>2026</v>
      </c>
      <c r="C628">
        <v>2</v>
      </c>
      <c r="D628" t="s">
        <v>48</v>
      </c>
      <c r="E628" t="s">
        <v>43</v>
      </c>
      <c r="F628" t="s">
        <v>30</v>
      </c>
      <c r="G628" t="s">
        <v>31</v>
      </c>
      <c r="H628">
        <v>5</v>
      </c>
      <c r="I628">
        <v>12500</v>
      </c>
    </row>
    <row r="629" spans="1:9" x14ac:dyDescent="0.3">
      <c r="A629" s="1">
        <v>46255</v>
      </c>
      <c r="B629">
        <v>2026</v>
      </c>
      <c r="C629">
        <v>8</v>
      </c>
      <c r="D629" t="s">
        <v>50</v>
      </c>
      <c r="E629" t="s">
        <v>41</v>
      </c>
      <c r="F629" t="s">
        <v>30</v>
      </c>
      <c r="G629" t="s">
        <v>31</v>
      </c>
      <c r="H629">
        <v>3</v>
      </c>
      <c r="I629">
        <v>7500</v>
      </c>
    </row>
    <row r="630" spans="1:9" x14ac:dyDescent="0.3">
      <c r="A630" s="1">
        <v>46045</v>
      </c>
      <c r="B630">
        <v>2026</v>
      </c>
      <c r="C630">
        <v>1</v>
      </c>
      <c r="D630" t="s">
        <v>49</v>
      </c>
      <c r="E630" t="s">
        <v>47</v>
      </c>
      <c r="F630" t="s">
        <v>30</v>
      </c>
      <c r="G630" t="s">
        <v>31</v>
      </c>
      <c r="H630">
        <v>5</v>
      </c>
      <c r="I630">
        <v>12500</v>
      </c>
    </row>
    <row r="631" spans="1:9" x14ac:dyDescent="0.3">
      <c r="A631" s="1">
        <v>46138</v>
      </c>
      <c r="B631">
        <v>2026</v>
      </c>
      <c r="C631">
        <v>4</v>
      </c>
      <c r="D631" t="s">
        <v>42</v>
      </c>
      <c r="E631" t="s">
        <v>43</v>
      </c>
      <c r="F631" t="s">
        <v>30</v>
      </c>
      <c r="G631" t="s">
        <v>31</v>
      </c>
      <c r="H631">
        <v>3</v>
      </c>
      <c r="I631">
        <v>7500</v>
      </c>
    </row>
    <row r="632" spans="1:9" x14ac:dyDescent="0.3">
      <c r="A632" s="1">
        <v>46053</v>
      </c>
      <c r="B632">
        <v>2026</v>
      </c>
      <c r="C632">
        <v>1</v>
      </c>
      <c r="D632" t="s">
        <v>49</v>
      </c>
      <c r="E632" t="s">
        <v>47</v>
      </c>
      <c r="F632" t="s">
        <v>30</v>
      </c>
      <c r="G632" t="s">
        <v>31</v>
      </c>
      <c r="H632">
        <v>2</v>
      </c>
      <c r="I632">
        <v>5000</v>
      </c>
    </row>
    <row r="633" spans="1:9" x14ac:dyDescent="0.3">
      <c r="A633" s="1">
        <v>46165</v>
      </c>
      <c r="B633">
        <v>2026</v>
      </c>
      <c r="C633">
        <v>5</v>
      </c>
      <c r="D633" t="s">
        <v>42</v>
      </c>
      <c r="E633" t="s">
        <v>43</v>
      </c>
      <c r="F633" t="s">
        <v>30</v>
      </c>
      <c r="G633" t="s">
        <v>31</v>
      </c>
      <c r="H633">
        <v>4</v>
      </c>
      <c r="I633">
        <v>10000</v>
      </c>
    </row>
    <row r="634" spans="1:9" x14ac:dyDescent="0.3">
      <c r="A634" s="1">
        <v>46029</v>
      </c>
      <c r="B634">
        <v>2026</v>
      </c>
      <c r="C634">
        <v>1</v>
      </c>
      <c r="D634" t="s">
        <v>46</v>
      </c>
      <c r="E634" t="s">
        <v>47</v>
      </c>
      <c r="F634" t="s">
        <v>30</v>
      </c>
      <c r="G634" t="s">
        <v>31</v>
      </c>
      <c r="H634">
        <v>5</v>
      </c>
      <c r="I634">
        <v>12500</v>
      </c>
    </row>
    <row r="635" spans="1:9" x14ac:dyDescent="0.3">
      <c r="A635" s="1">
        <v>46266</v>
      </c>
      <c r="B635">
        <v>2026</v>
      </c>
      <c r="C635">
        <v>9</v>
      </c>
      <c r="D635" t="s">
        <v>49</v>
      </c>
      <c r="E635" t="s">
        <v>47</v>
      </c>
      <c r="F635" t="s">
        <v>30</v>
      </c>
      <c r="G635" t="s">
        <v>31</v>
      </c>
      <c r="H635">
        <v>3</v>
      </c>
      <c r="I635">
        <v>7500</v>
      </c>
    </row>
    <row r="636" spans="1:9" x14ac:dyDescent="0.3">
      <c r="A636" s="1">
        <v>46315</v>
      </c>
      <c r="B636">
        <v>2026</v>
      </c>
      <c r="C636">
        <v>10</v>
      </c>
      <c r="D636" t="s">
        <v>49</v>
      </c>
      <c r="E636" t="s">
        <v>47</v>
      </c>
      <c r="F636" t="s">
        <v>30</v>
      </c>
      <c r="G636" t="s">
        <v>31</v>
      </c>
      <c r="H636">
        <v>2</v>
      </c>
      <c r="I636">
        <v>5000</v>
      </c>
    </row>
    <row r="637" spans="1:9" x14ac:dyDescent="0.3">
      <c r="A637" s="1">
        <v>46024</v>
      </c>
      <c r="B637">
        <v>2026</v>
      </c>
      <c r="C637">
        <v>1</v>
      </c>
      <c r="D637" t="s">
        <v>42</v>
      </c>
      <c r="E637" t="s">
        <v>43</v>
      </c>
      <c r="F637" t="s">
        <v>30</v>
      </c>
      <c r="G637" t="s">
        <v>31</v>
      </c>
      <c r="H637">
        <v>3</v>
      </c>
      <c r="I637">
        <v>7500</v>
      </c>
    </row>
    <row r="638" spans="1:9" x14ac:dyDescent="0.3">
      <c r="A638" s="1">
        <v>46276</v>
      </c>
      <c r="B638">
        <v>2026</v>
      </c>
      <c r="C638">
        <v>9</v>
      </c>
      <c r="D638" t="s">
        <v>46</v>
      </c>
      <c r="E638" t="s">
        <v>47</v>
      </c>
      <c r="F638" t="s">
        <v>30</v>
      </c>
      <c r="G638" t="s">
        <v>31</v>
      </c>
      <c r="H638">
        <v>2</v>
      </c>
      <c r="I638">
        <v>5000</v>
      </c>
    </row>
    <row r="639" spans="1:9" x14ac:dyDescent="0.3">
      <c r="A639" s="1">
        <v>46136</v>
      </c>
      <c r="B639">
        <v>2026</v>
      </c>
      <c r="C639">
        <v>4</v>
      </c>
      <c r="D639" t="s">
        <v>50</v>
      </c>
      <c r="E639" t="s">
        <v>41</v>
      </c>
      <c r="F639" t="s">
        <v>30</v>
      </c>
      <c r="G639" t="s">
        <v>31</v>
      </c>
      <c r="H639">
        <v>1</v>
      </c>
      <c r="I639">
        <v>2500</v>
      </c>
    </row>
    <row r="640" spans="1:9" x14ac:dyDescent="0.3">
      <c r="A640" s="1">
        <v>46126</v>
      </c>
      <c r="B640">
        <v>2026</v>
      </c>
      <c r="C640">
        <v>4</v>
      </c>
      <c r="D640" t="s">
        <v>42</v>
      </c>
      <c r="E640" t="s">
        <v>43</v>
      </c>
      <c r="F640" t="s">
        <v>30</v>
      </c>
      <c r="G640" t="s">
        <v>31</v>
      </c>
      <c r="H640">
        <v>1</v>
      </c>
      <c r="I640">
        <v>2500</v>
      </c>
    </row>
    <row r="641" spans="1:9" x14ac:dyDescent="0.3">
      <c r="A641" s="1">
        <v>46201</v>
      </c>
      <c r="B641">
        <v>2026</v>
      </c>
      <c r="C641">
        <v>6</v>
      </c>
      <c r="D641" t="s">
        <v>49</v>
      </c>
      <c r="E641" t="s">
        <v>47</v>
      </c>
      <c r="F641" t="s">
        <v>30</v>
      </c>
      <c r="G641" t="s">
        <v>31</v>
      </c>
      <c r="H641">
        <v>3</v>
      </c>
      <c r="I641">
        <v>7500</v>
      </c>
    </row>
    <row r="642" spans="1:9" x14ac:dyDescent="0.3">
      <c r="A642" s="1">
        <v>46162</v>
      </c>
      <c r="B642">
        <v>2026</v>
      </c>
      <c r="C642">
        <v>5</v>
      </c>
      <c r="D642" t="s">
        <v>44</v>
      </c>
      <c r="E642" t="s">
        <v>45</v>
      </c>
      <c r="F642" t="s">
        <v>30</v>
      </c>
      <c r="G642" t="s">
        <v>31</v>
      </c>
      <c r="H642">
        <v>4</v>
      </c>
      <c r="I642">
        <v>10000</v>
      </c>
    </row>
    <row r="643" spans="1:9" x14ac:dyDescent="0.3">
      <c r="A643" s="1">
        <v>46099</v>
      </c>
      <c r="B643">
        <v>2026</v>
      </c>
      <c r="C643">
        <v>3</v>
      </c>
      <c r="D643" t="s">
        <v>48</v>
      </c>
      <c r="E643" t="s">
        <v>43</v>
      </c>
      <c r="F643" t="s">
        <v>30</v>
      </c>
      <c r="G643" t="s">
        <v>31</v>
      </c>
      <c r="H643">
        <v>2</v>
      </c>
      <c r="I643">
        <v>5000</v>
      </c>
    </row>
    <row r="644" spans="1:9" x14ac:dyDescent="0.3">
      <c r="A644" s="1">
        <v>46151</v>
      </c>
      <c r="B644">
        <v>2026</v>
      </c>
      <c r="C644">
        <v>5</v>
      </c>
      <c r="D644" t="s">
        <v>46</v>
      </c>
      <c r="E644" t="s">
        <v>47</v>
      </c>
      <c r="F644" t="s">
        <v>30</v>
      </c>
      <c r="G644" t="s">
        <v>31</v>
      </c>
      <c r="H644">
        <v>2</v>
      </c>
      <c r="I644">
        <v>5000</v>
      </c>
    </row>
    <row r="645" spans="1:9" x14ac:dyDescent="0.3">
      <c r="A645" s="1">
        <v>46217</v>
      </c>
      <c r="B645">
        <v>2026</v>
      </c>
      <c r="C645">
        <v>7</v>
      </c>
      <c r="D645" t="s">
        <v>51</v>
      </c>
      <c r="E645" t="s">
        <v>45</v>
      </c>
      <c r="F645" t="s">
        <v>30</v>
      </c>
      <c r="G645" t="s">
        <v>31</v>
      </c>
      <c r="H645">
        <v>1</v>
      </c>
      <c r="I645">
        <v>2500</v>
      </c>
    </row>
    <row r="646" spans="1:9" x14ac:dyDescent="0.3">
      <c r="A646" s="1">
        <v>46215</v>
      </c>
      <c r="B646">
        <v>2026</v>
      </c>
      <c r="C646">
        <v>7</v>
      </c>
      <c r="D646" t="s">
        <v>48</v>
      </c>
      <c r="E646" t="s">
        <v>43</v>
      </c>
      <c r="F646" t="s">
        <v>30</v>
      </c>
      <c r="G646" t="s">
        <v>31</v>
      </c>
      <c r="H646">
        <v>1</v>
      </c>
      <c r="I646">
        <v>2500</v>
      </c>
    </row>
    <row r="647" spans="1:9" x14ac:dyDescent="0.3">
      <c r="A647" s="1">
        <v>46046</v>
      </c>
      <c r="B647">
        <v>2026</v>
      </c>
      <c r="C647">
        <v>1</v>
      </c>
      <c r="D647" t="s">
        <v>40</v>
      </c>
      <c r="E647" t="s">
        <v>41</v>
      </c>
      <c r="F647" t="s">
        <v>30</v>
      </c>
      <c r="G647" t="s">
        <v>31</v>
      </c>
      <c r="H647">
        <v>5</v>
      </c>
      <c r="I647">
        <v>12500</v>
      </c>
    </row>
    <row r="648" spans="1:9" x14ac:dyDescent="0.3">
      <c r="A648" s="1">
        <v>46075</v>
      </c>
      <c r="B648">
        <v>2026</v>
      </c>
      <c r="C648">
        <v>2</v>
      </c>
      <c r="D648" t="s">
        <v>48</v>
      </c>
      <c r="E648" t="s">
        <v>43</v>
      </c>
      <c r="F648" t="s">
        <v>30</v>
      </c>
      <c r="G648" t="s">
        <v>31</v>
      </c>
      <c r="H648">
        <v>4</v>
      </c>
      <c r="I648">
        <v>10000</v>
      </c>
    </row>
    <row r="649" spans="1:9" x14ac:dyDescent="0.3">
      <c r="A649" s="1">
        <v>46272</v>
      </c>
      <c r="B649">
        <v>2026</v>
      </c>
      <c r="C649">
        <v>9</v>
      </c>
      <c r="D649" t="s">
        <v>51</v>
      </c>
      <c r="E649" t="s">
        <v>45</v>
      </c>
      <c r="F649" t="s">
        <v>30</v>
      </c>
      <c r="G649" t="s">
        <v>31</v>
      </c>
      <c r="H649">
        <v>5</v>
      </c>
      <c r="I649">
        <v>12500</v>
      </c>
    </row>
    <row r="650" spans="1:9" x14ac:dyDescent="0.3">
      <c r="A650" s="1">
        <v>46197</v>
      </c>
      <c r="B650">
        <v>2026</v>
      </c>
      <c r="C650">
        <v>6</v>
      </c>
      <c r="D650" t="s">
        <v>42</v>
      </c>
      <c r="E650" t="s">
        <v>43</v>
      </c>
      <c r="F650" t="s">
        <v>30</v>
      </c>
      <c r="G650" t="s">
        <v>31</v>
      </c>
      <c r="H650">
        <v>5</v>
      </c>
      <c r="I650">
        <v>12500</v>
      </c>
    </row>
    <row r="651" spans="1:9" x14ac:dyDescent="0.3">
      <c r="A651" s="1">
        <v>46168</v>
      </c>
      <c r="B651">
        <v>2026</v>
      </c>
      <c r="C651">
        <v>5</v>
      </c>
      <c r="D651" t="s">
        <v>46</v>
      </c>
      <c r="E651" t="s">
        <v>47</v>
      </c>
      <c r="F651" t="s">
        <v>30</v>
      </c>
      <c r="G651" t="s">
        <v>31</v>
      </c>
      <c r="H651">
        <v>4</v>
      </c>
      <c r="I651">
        <v>10000</v>
      </c>
    </row>
    <row r="652" spans="1:9" x14ac:dyDescent="0.3">
      <c r="A652" s="1">
        <v>46320</v>
      </c>
      <c r="B652">
        <v>2026</v>
      </c>
      <c r="C652">
        <v>10</v>
      </c>
      <c r="D652" t="s">
        <v>51</v>
      </c>
      <c r="E652" t="s">
        <v>45</v>
      </c>
      <c r="F652" t="s">
        <v>30</v>
      </c>
      <c r="G652" t="s">
        <v>31</v>
      </c>
      <c r="H652">
        <v>2</v>
      </c>
      <c r="I652">
        <v>5000</v>
      </c>
    </row>
    <row r="653" spans="1:9" x14ac:dyDescent="0.3">
      <c r="A653" s="1">
        <v>46038</v>
      </c>
      <c r="B653">
        <v>2026</v>
      </c>
      <c r="C653">
        <v>1</v>
      </c>
      <c r="D653" t="s">
        <v>40</v>
      </c>
      <c r="E653" t="s">
        <v>41</v>
      </c>
      <c r="F653" t="s">
        <v>30</v>
      </c>
      <c r="G653" t="s">
        <v>31</v>
      </c>
      <c r="H653">
        <v>2</v>
      </c>
      <c r="I653">
        <v>5000</v>
      </c>
    </row>
    <row r="654" spans="1:9" x14ac:dyDescent="0.3">
      <c r="A654" s="1">
        <v>46189</v>
      </c>
      <c r="B654">
        <v>2026</v>
      </c>
      <c r="C654">
        <v>6</v>
      </c>
      <c r="D654" t="s">
        <v>44</v>
      </c>
      <c r="E654" t="s">
        <v>45</v>
      </c>
      <c r="F654" t="s">
        <v>30</v>
      </c>
      <c r="G654" t="s">
        <v>31</v>
      </c>
      <c r="H654">
        <v>1</v>
      </c>
      <c r="I654">
        <v>2500</v>
      </c>
    </row>
    <row r="655" spans="1:9" x14ac:dyDescent="0.3">
      <c r="A655" s="1">
        <v>46069</v>
      </c>
      <c r="B655">
        <v>2026</v>
      </c>
      <c r="C655">
        <v>2</v>
      </c>
      <c r="D655" t="s">
        <v>49</v>
      </c>
      <c r="E655" t="s">
        <v>47</v>
      </c>
      <c r="F655" t="s">
        <v>30</v>
      </c>
      <c r="G655" t="s">
        <v>31</v>
      </c>
      <c r="H655">
        <v>1</v>
      </c>
      <c r="I655">
        <v>2500</v>
      </c>
    </row>
    <row r="656" spans="1:9" x14ac:dyDescent="0.3">
      <c r="A656" s="1">
        <v>46030</v>
      </c>
      <c r="B656">
        <v>2026</v>
      </c>
      <c r="C656">
        <v>1</v>
      </c>
      <c r="D656" t="s">
        <v>48</v>
      </c>
      <c r="E656" t="s">
        <v>43</v>
      </c>
      <c r="F656" t="s">
        <v>30</v>
      </c>
      <c r="G656" t="s">
        <v>31</v>
      </c>
      <c r="H656">
        <v>1</v>
      </c>
      <c r="I656">
        <v>2500</v>
      </c>
    </row>
    <row r="657" spans="1:9" x14ac:dyDescent="0.3">
      <c r="A657" s="1">
        <v>46293</v>
      </c>
      <c r="B657">
        <v>2026</v>
      </c>
      <c r="C657">
        <v>9</v>
      </c>
      <c r="D657" t="s">
        <v>48</v>
      </c>
      <c r="E657" t="s">
        <v>43</v>
      </c>
      <c r="F657" t="s">
        <v>30</v>
      </c>
      <c r="G657" t="s">
        <v>31</v>
      </c>
      <c r="H657">
        <v>1</v>
      </c>
      <c r="I657">
        <v>2500</v>
      </c>
    </row>
    <row r="658" spans="1:9" x14ac:dyDescent="0.3">
      <c r="A658" s="1">
        <v>46122</v>
      </c>
      <c r="B658">
        <v>2026</v>
      </c>
      <c r="C658">
        <v>4</v>
      </c>
      <c r="D658" t="s">
        <v>50</v>
      </c>
      <c r="E658" t="s">
        <v>41</v>
      </c>
      <c r="F658" t="s">
        <v>30</v>
      </c>
      <c r="G658" t="s">
        <v>31</v>
      </c>
      <c r="H658">
        <v>2</v>
      </c>
      <c r="I658">
        <v>5000</v>
      </c>
    </row>
    <row r="659" spans="1:9" x14ac:dyDescent="0.3">
      <c r="A659" s="1">
        <v>46093</v>
      </c>
      <c r="B659">
        <v>2026</v>
      </c>
      <c r="C659">
        <v>3</v>
      </c>
      <c r="D659" t="s">
        <v>46</v>
      </c>
      <c r="E659" t="s">
        <v>47</v>
      </c>
      <c r="F659" t="s">
        <v>30</v>
      </c>
      <c r="G659" t="s">
        <v>31</v>
      </c>
      <c r="H659">
        <v>5</v>
      </c>
      <c r="I659">
        <v>12500</v>
      </c>
    </row>
    <row r="660" spans="1:9" x14ac:dyDescent="0.3">
      <c r="A660" s="1">
        <v>46087</v>
      </c>
      <c r="B660">
        <v>2026</v>
      </c>
      <c r="C660">
        <v>3</v>
      </c>
      <c r="D660" t="s">
        <v>48</v>
      </c>
      <c r="E660" t="s">
        <v>43</v>
      </c>
      <c r="F660" t="s">
        <v>30</v>
      </c>
      <c r="G660" t="s">
        <v>31</v>
      </c>
      <c r="H660">
        <v>2</v>
      </c>
      <c r="I660">
        <v>5000</v>
      </c>
    </row>
    <row r="661" spans="1:9" x14ac:dyDescent="0.3">
      <c r="A661" s="1">
        <v>46301</v>
      </c>
      <c r="B661">
        <v>2026</v>
      </c>
      <c r="C661">
        <v>10</v>
      </c>
      <c r="D661" t="s">
        <v>44</v>
      </c>
      <c r="E661" t="s">
        <v>45</v>
      </c>
      <c r="F661" t="s">
        <v>30</v>
      </c>
      <c r="G661" t="s">
        <v>31</v>
      </c>
      <c r="H661">
        <v>3</v>
      </c>
      <c r="I661">
        <v>7500</v>
      </c>
    </row>
    <row r="662" spans="1:9" x14ac:dyDescent="0.3">
      <c r="A662" s="1">
        <v>46284</v>
      </c>
      <c r="B662">
        <v>2026</v>
      </c>
      <c r="C662">
        <v>9</v>
      </c>
      <c r="D662" t="s">
        <v>48</v>
      </c>
      <c r="E662" t="s">
        <v>43</v>
      </c>
      <c r="F662" t="s">
        <v>30</v>
      </c>
      <c r="G662" t="s">
        <v>31</v>
      </c>
      <c r="H662">
        <v>1</v>
      </c>
      <c r="I662">
        <v>2500</v>
      </c>
    </row>
    <row r="663" spans="1:9" x14ac:dyDescent="0.3">
      <c r="A663" s="1">
        <v>46245</v>
      </c>
      <c r="B663">
        <v>2026</v>
      </c>
      <c r="C663">
        <v>8</v>
      </c>
      <c r="D663" t="s">
        <v>48</v>
      </c>
      <c r="E663" t="s">
        <v>43</v>
      </c>
      <c r="F663" t="s">
        <v>30</v>
      </c>
      <c r="G663" t="s">
        <v>31</v>
      </c>
      <c r="H663">
        <v>1</v>
      </c>
      <c r="I663">
        <v>2500</v>
      </c>
    </row>
    <row r="664" spans="1:9" x14ac:dyDescent="0.3">
      <c r="A664" s="1">
        <v>46032</v>
      </c>
      <c r="B664">
        <v>2026</v>
      </c>
      <c r="C664">
        <v>1</v>
      </c>
      <c r="D664" t="s">
        <v>44</v>
      </c>
      <c r="E664" t="s">
        <v>45</v>
      </c>
      <c r="F664" t="s">
        <v>30</v>
      </c>
      <c r="G664" t="s">
        <v>31</v>
      </c>
      <c r="H664">
        <v>4</v>
      </c>
      <c r="I664">
        <v>10000</v>
      </c>
    </row>
    <row r="665" spans="1:9" x14ac:dyDescent="0.3">
      <c r="A665" s="1">
        <v>46262</v>
      </c>
      <c r="B665">
        <v>2026</v>
      </c>
      <c r="C665">
        <v>8</v>
      </c>
      <c r="D665" t="s">
        <v>46</v>
      </c>
      <c r="E665" t="s">
        <v>47</v>
      </c>
      <c r="F665" t="s">
        <v>30</v>
      </c>
      <c r="G665" t="s">
        <v>31</v>
      </c>
      <c r="H665">
        <v>2</v>
      </c>
      <c r="I665">
        <v>5000</v>
      </c>
    </row>
    <row r="666" spans="1:9" x14ac:dyDescent="0.3">
      <c r="A666" s="1">
        <v>46196</v>
      </c>
      <c r="B666">
        <v>2026</v>
      </c>
      <c r="C666">
        <v>6</v>
      </c>
      <c r="D666" t="s">
        <v>48</v>
      </c>
      <c r="E666" t="s">
        <v>43</v>
      </c>
      <c r="F666" t="s">
        <v>30</v>
      </c>
      <c r="G666" t="s">
        <v>31</v>
      </c>
      <c r="H666">
        <v>1</v>
      </c>
      <c r="I666">
        <v>2500</v>
      </c>
    </row>
    <row r="667" spans="1:9" x14ac:dyDescent="0.3">
      <c r="A667" s="1">
        <v>46082</v>
      </c>
      <c r="B667">
        <v>2026</v>
      </c>
      <c r="C667">
        <v>3</v>
      </c>
      <c r="D667" t="s">
        <v>42</v>
      </c>
      <c r="E667" t="s">
        <v>43</v>
      </c>
      <c r="F667" t="s">
        <v>30</v>
      </c>
      <c r="G667" t="s">
        <v>31</v>
      </c>
      <c r="H667">
        <v>3</v>
      </c>
      <c r="I667">
        <v>7500</v>
      </c>
    </row>
    <row r="668" spans="1:9" x14ac:dyDescent="0.3">
      <c r="A668" s="1">
        <v>46071</v>
      </c>
      <c r="B668">
        <v>2026</v>
      </c>
      <c r="C668">
        <v>2</v>
      </c>
      <c r="D668" t="s">
        <v>40</v>
      </c>
      <c r="E668" t="s">
        <v>41</v>
      </c>
      <c r="F668" t="s">
        <v>30</v>
      </c>
      <c r="G668" t="s">
        <v>31</v>
      </c>
      <c r="H668">
        <v>1</v>
      </c>
      <c r="I668">
        <v>2500</v>
      </c>
    </row>
    <row r="669" spans="1:9" x14ac:dyDescent="0.3">
      <c r="A669" s="1">
        <v>46288</v>
      </c>
      <c r="B669">
        <v>2026</v>
      </c>
      <c r="C669">
        <v>9</v>
      </c>
      <c r="D669" t="s">
        <v>44</v>
      </c>
      <c r="E669" t="s">
        <v>45</v>
      </c>
      <c r="F669" t="s">
        <v>30</v>
      </c>
      <c r="G669" t="s">
        <v>31</v>
      </c>
      <c r="H669">
        <v>2</v>
      </c>
      <c r="I669">
        <v>5000</v>
      </c>
    </row>
    <row r="670" spans="1:9" x14ac:dyDescent="0.3">
      <c r="A670" s="1">
        <v>46129</v>
      </c>
      <c r="B670">
        <v>2026</v>
      </c>
      <c r="C670">
        <v>4</v>
      </c>
      <c r="D670" t="s">
        <v>51</v>
      </c>
      <c r="E670" t="s">
        <v>45</v>
      </c>
      <c r="F670" t="s">
        <v>30</v>
      </c>
      <c r="G670" t="s">
        <v>31</v>
      </c>
      <c r="H670">
        <v>5</v>
      </c>
      <c r="I670">
        <v>12500</v>
      </c>
    </row>
    <row r="671" spans="1:9" x14ac:dyDescent="0.3">
      <c r="A671" s="1">
        <v>46123</v>
      </c>
      <c r="B671">
        <v>2026</v>
      </c>
      <c r="C671">
        <v>4</v>
      </c>
      <c r="D671" t="s">
        <v>40</v>
      </c>
      <c r="E671" t="s">
        <v>41</v>
      </c>
      <c r="F671" t="s">
        <v>30</v>
      </c>
      <c r="G671" t="s">
        <v>31</v>
      </c>
      <c r="H671">
        <v>3</v>
      </c>
      <c r="I671">
        <v>7500</v>
      </c>
    </row>
    <row r="672" spans="1:9" x14ac:dyDescent="0.3">
      <c r="A672" s="1">
        <v>46062</v>
      </c>
      <c r="B672">
        <v>2026</v>
      </c>
      <c r="C672">
        <v>2</v>
      </c>
      <c r="D672" t="s">
        <v>40</v>
      </c>
      <c r="E672" t="s">
        <v>41</v>
      </c>
      <c r="F672" t="s">
        <v>30</v>
      </c>
      <c r="G672" t="s">
        <v>31</v>
      </c>
      <c r="H672">
        <v>3</v>
      </c>
      <c r="I672">
        <v>7500</v>
      </c>
    </row>
    <row r="673" spans="1:9" x14ac:dyDescent="0.3">
      <c r="A673" s="1">
        <v>46039</v>
      </c>
      <c r="B673">
        <v>2026</v>
      </c>
      <c r="C673">
        <v>1</v>
      </c>
      <c r="D673" t="s">
        <v>49</v>
      </c>
      <c r="E673" t="s">
        <v>47</v>
      </c>
      <c r="F673" t="s">
        <v>30</v>
      </c>
      <c r="G673" t="s">
        <v>31</v>
      </c>
      <c r="H673">
        <v>5</v>
      </c>
      <c r="I673">
        <v>12500</v>
      </c>
    </row>
    <row r="674" spans="1:9" x14ac:dyDescent="0.3">
      <c r="A674" s="1">
        <v>46231</v>
      </c>
      <c r="B674">
        <v>2026</v>
      </c>
      <c r="C674">
        <v>7</v>
      </c>
      <c r="D674" t="s">
        <v>49</v>
      </c>
      <c r="E674" t="s">
        <v>47</v>
      </c>
      <c r="F674" t="s">
        <v>30</v>
      </c>
      <c r="G674" t="s">
        <v>31</v>
      </c>
      <c r="H674">
        <v>4</v>
      </c>
      <c r="I674">
        <v>10000</v>
      </c>
    </row>
    <row r="675" spans="1:9" x14ac:dyDescent="0.3">
      <c r="A675" s="1">
        <v>46171</v>
      </c>
      <c r="B675">
        <v>2026</v>
      </c>
      <c r="C675">
        <v>5</v>
      </c>
      <c r="D675" t="s">
        <v>49</v>
      </c>
      <c r="E675" t="s">
        <v>47</v>
      </c>
      <c r="F675" t="s">
        <v>30</v>
      </c>
      <c r="G675" t="s">
        <v>31</v>
      </c>
      <c r="H675">
        <v>4</v>
      </c>
      <c r="I675">
        <v>10000</v>
      </c>
    </row>
    <row r="676" spans="1:9" x14ac:dyDescent="0.3">
      <c r="A676" s="1">
        <v>46190</v>
      </c>
      <c r="B676">
        <v>2026</v>
      </c>
      <c r="C676">
        <v>6</v>
      </c>
      <c r="D676" t="s">
        <v>51</v>
      </c>
      <c r="E676" t="s">
        <v>45</v>
      </c>
      <c r="F676" t="s">
        <v>30</v>
      </c>
      <c r="G676" t="s">
        <v>31</v>
      </c>
      <c r="H676">
        <v>4</v>
      </c>
      <c r="I676">
        <v>10000</v>
      </c>
    </row>
    <row r="677" spans="1:9" x14ac:dyDescent="0.3">
      <c r="A677" s="1">
        <v>46215</v>
      </c>
      <c r="B677">
        <v>2026</v>
      </c>
      <c r="C677">
        <v>7</v>
      </c>
      <c r="D677" t="s">
        <v>46</v>
      </c>
      <c r="E677" t="s">
        <v>47</v>
      </c>
      <c r="F677" t="s">
        <v>30</v>
      </c>
      <c r="G677" t="s">
        <v>31</v>
      </c>
      <c r="H677">
        <v>4</v>
      </c>
      <c r="I677">
        <v>10000</v>
      </c>
    </row>
    <row r="678" spans="1:9" x14ac:dyDescent="0.3">
      <c r="A678" s="1">
        <v>46047</v>
      </c>
      <c r="B678">
        <v>2026</v>
      </c>
      <c r="C678">
        <v>1</v>
      </c>
      <c r="D678" t="s">
        <v>48</v>
      </c>
      <c r="E678" t="s">
        <v>43</v>
      </c>
      <c r="F678" t="s">
        <v>30</v>
      </c>
      <c r="G678" t="s">
        <v>31</v>
      </c>
      <c r="H678">
        <v>1</v>
      </c>
      <c r="I678">
        <v>2500</v>
      </c>
    </row>
    <row r="679" spans="1:9" x14ac:dyDescent="0.3">
      <c r="A679" s="1">
        <v>46192</v>
      </c>
      <c r="B679">
        <v>2026</v>
      </c>
      <c r="C679">
        <v>6</v>
      </c>
      <c r="D679" t="s">
        <v>46</v>
      </c>
      <c r="E679" t="s">
        <v>47</v>
      </c>
      <c r="F679" t="s">
        <v>30</v>
      </c>
      <c r="G679" t="s">
        <v>31</v>
      </c>
      <c r="H679">
        <v>4</v>
      </c>
      <c r="I679">
        <v>10000</v>
      </c>
    </row>
    <row r="680" spans="1:9" x14ac:dyDescent="0.3">
      <c r="A680" s="1">
        <v>46109</v>
      </c>
      <c r="B680">
        <v>2026</v>
      </c>
      <c r="C680">
        <v>3</v>
      </c>
      <c r="D680" t="s">
        <v>51</v>
      </c>
      <c r="E680" t="s">
        <v>45</v>
      </c>
      <c r="F680" t="s">
        <v>30</v>
      </c>
      <c r="G680" t="s">
        <v>31</v>
      </c>
      <c r="H680">
        <v>3</v>
      </c>
      <c r="I680">
        <v>7500</v>
      </c>
    </row>
    <row r="681" spans="1:9" x14ac:dyDescent="0.3">
      <c r="A681" s="1">
        <v>46314</v>
      </c>
      <c r="B681">
        <v>2026</v>
      </c>
      <c r="C681">
        <v>10</v>
      </c>
      <c r="D681" t="s">
        <v>51</v>
      </c>
      <c r="E681" t="s">
        <v>45</v>
      </c>
      <c r="F681" t="s">
        <v>30</v>
      </c>
      <c r="G681" t="s">
        <v>31</v>
      </c>
      <c r="H681">
        <v>2</v>
      </c>
      <c r="I681">
        <v>5000</v>
      </c>
    </row>
    <row r="682" spans="1:9" x14ac:dyDescent="0.3">
      <c r="A682" s="1">
        <v>46233</v>
      </c>
      <c r="B682">
        <v>2026</v>
      </c>
      <c r="C682">
        <v>7</v>
      </c>
      <c r="D682" t="s">
        <v>48</v>
      </c>
      <c r="E682" t="s">
        <v>43</v>
      </c>
      <c r="F682" t="s">
        <v>30</v>
      </c>
      <c r="G682" t="s">
        <v>31</v>
      </c>
      <c r="H682">
        <v>2</v>
      </c>
      <c r="I682">
        <v>5000</v>
      </c>
    </row>
    <row r="683" spans="1:9" x14ac:dyDescent="0.3">
      <c r="A683" s="1">
        <v>46104</v>
      </c>
      <c r="B683">
        <v>2026</v>
      </c>
      <c r="C683">
        <v>3</v>
      </c>
      <c r="D683" t="s">
        <v>44</v>
      </c>
      <c r="E683" t="s">
        <v>45</v>
      </c>
      <c r="F683" t="s">
        <v>30</v>
      </c>
      <c r="G683" t="s">
        <v>31</v>
      </c>
      <c r="H683">
        <v>3</v>
      </c>
      <c r="I683">
        <v>7500</v>
      </c>
    </row>
    <row r="684" spans="1:9" x14ac:dyDescent="0.3">
      <c r="A684" s="1">
        <v>46087</v>
      </c>
      <c r="B684">
        <v>2026</v>
      </c>
      <c r="C684">
        <v>3</v>
      </c>
      <c r="D684" t="s">
        <v>49</v>
      </c>
      <c r="E684" t="s">
        <v>47</v>
      </c>
      <c r="F684" t="s">
        <v>30</v>
      </c>
      <c r="G684" t="s">
        <v>31</v>
      </c>
      <c r="H684">
        <v>2</v>
      </c>
      <c r="I684">
        <v>5000</v>
      </c>
    </row>
    <row r="685" spans="1:9" x14ac:dyDescent="0.3">
      <c r="A685" s="1">
        <v>46053</v>
      </c>
      <c r="B685">
        <v>2026</v>
      </c>
      <c r="C685">
        <v>1</v>
      </c>
      <c r="D685" t="s">
        <v>40</v>
      </c>
      <c r="E685" t="s">
        <v>41</v>
      </c>
      <c r="F685" t="s">
        <v>30</v>
      </c>
      <c r="G685" t="s">
        <v>31</v>
      </c>
      <c r="H685">
        <v>4</v>
      </c>
      <c r="I685">
        <v>10000</v>
      </c>
    </row>
    <row r="686" spans="1:9" x14ac:dyDescent="0.3">
      <c r="A686" s="1">
        <v>46219</v>
      </c>
      <c r="B686">
        <v>2026</v>
      </c>
      <c r="C686">
        <v>7</v>
      </c>
      <c r="D686" t="s">
        <v>50</v>
      </c>
      <c r="E686" t="s">
        <v>41</v>
      </c>
      <c r="F686" t="s">
        <v>30</v>
      </c>
      <c r="G686" t="s">
        <v>31</v>
      </c>
      <c r="H686">
        <v>2</v>
      </c>
      <c r="I686">
        <v>5000</v>
      </c>
    </row>
    <row r="687" spans="1:9" x14ac:dyDescent="0.3">
      <c r="A687" s="1">
        <v>46081</v>
      </c>
      <c r="B687">
        <v>2026</v>
      </c>
      <c r="C687">
        <v>2</v>
      </c>
      <c r="D687" t="s">
        <v>50</v>
      </c>
      <c r="E687" t="s">
        <v>41</v>
      </c>
      <c r="F687" t="s">
        <v>30</v>
      </c>
      <c r="G687" t="s">
        <v>31</v>
      </c>
      <c r="H687">
        <v>5</v>
      </c>
      <c r="I687">
        <v>12500</v>
      </c>
    </row>
    <row r="688" spans="1:9" x14ac:dyDescent="0.3">
      <c r="A688" s="1">
        <v>46198</v>
      </c>
      <c r="B688">
        <v>2026</v>
      </c>
      <c r="C688">
        <v>6</v>
      </c>
      <c r="D688" t="s">
        <v>48</v>
      </c>
      <c r="E688" t="s">
        <v>43</v>
      </c>
      <c r="F688" t="s">
        <v>30</v>
      </c>
      <c r="G688" t="s">
        <v>31</v>
      </c>
      <c r="H688">
        <v>5</v>
      </c>
      <c r="I688">
        <v>12500</v>
      </c>
    </row>
    <row r="689" spans="1:9" x14ac:dyDescent="0.3">
      <c r="A689" s="1">
        <v>46251</v>
      </c>
      <c r="B689">
        <v>2026</v>
      </c>
      <c r="C689">
        <v>8</v>
      </c>
      <c r="D689" t="s">
        <v>51</v>
      </c>
      <c r="E689" t="s">
        <v>45</v>
      </c>
      <c r="F689" t="s">
        <v>30</v>
      </c>
      <c r="G689" t="s">
        <v>31</v>
      </c>
      <c r="H689">
        <v>1</v>
      </c>
      <c r="I689">
        <v>2500</v>
      </c>
    </row>
    <row r="690" spans="1:9" x14ac:dyDescent="0.3">
      <c r="A690" s="1">
        <v>46302</v>
      </c>
      <c r="B690">
        <v>2026</v>
      </c>
      <c r="C690">
        <v>10</v>
      </c>
      <c r="D690" t="s">
        <v>50</v>
      </c>
      <c r="E690" t="s">
        <v>41</v>
      </c>
      <c r="F690" t="s">
        <v>30</v>
      </c>
      <c r="G690" t="s">
        <v>31</v>
      </c>
      <c r="H690">
        <v>1</v>
      </c>
      <c r="I690">
        <v>2500</v>
      </c>
    </row>
    <row r="691" spans="1:9" x14ac:dyDescent="0.3">
      <c r="A691" s="1">
        <v>46076</v>
      </c>
      <c r="B691">
        <v>2026</v>
      </c>
      <c r="C691">
        <v>2</v>
      </c>
      <c r="D691" t="s">
        <v>50</v>
      </c>
      <c r="E691" t="s">
        <v>41</v>
      </c>
      <c r="F691" t="s">
        <v>30</v>
      </c>
      <c r="G691" t="s">
        <v>31</v>
      </c>
      <c r="H691">
        <v>4</v>
      </c>
      <c r="I691">
        <v>10000</v>
      </c>
    </row>
    <row r="692" spans="1:9" x14ac:dyDescent="0.3">
      <c r="A692" s="1">
        <v>46240</v>
      </c>
      <c r="B692">
        <v>2026</v>
      </c>
      <c r="C692">
        <v>8</v>
      </c>
      <c r="D692" t="s">
        <v>48</v>
      </c>
      <c r="E692" t="s">
        <v>43</v>
      </c>
      <c r="F692" t="s">
        <v>30</v>
      </c>
      <c r="G692" t="s">
        <v>31</v>
      </c>
      <c r="H692">
        <v>1</v>
      </c>
      <c r="I692">
        <v>2500</v>
      </c>
    </row>
    <row r="693" spans="1:9" x14ac:dyDescent="0.3">
      <c r="A693" s="1">
        <v>46214</v>
      </c>
      <c r="B693">
        <v>2026</v>
      </c>
      <c r="C693">
        <v>7</v>
      </c>
      <c r="D693" t="s">
        <v>46</v>
      </c>
      <c r="E693" t="s">
        <v>47</v>
      </c>
      <c r="F693" t="s">
        <v>30</v>
      </c>
      <c r="G693" t="s">
        <v>31</v>
      </c>
      <c r="H693">
        <v>3</v>
      </c>
      <c r="I693">
        <v>7500</v>
      </c>
    </row>
    <row r="694" spans="1:9" x14ac:dyDescent="0.3">
      <c r="A694" s="1">
        <v>46186</v>
      </c>
      <c r="B694">
        <v>2026</v>
      </c>
      <c r="C694">
        <v>6</v>
      </c>
      <c r="D694" t="s">
        <v>51</v>
      </c>
      <c r="E694" t="s">
        <v>45</v>
      </c>
      <c r="F694" t="s">
        <v>30</v>
      </c>
      <c r="G694" t="s">
        <v>31</v>
      </c>
      <c r="H694">
        <v>5</v>
      </c>
      <c r="I694">
        <v>12500</v>
      </c>
    </row>
    <row r="695" spans="1:9" x14ac:dyDescent="0.3">
      <c r="A695" s="1">
        <v>46035</v>
      </c>
      <c r="B695">
        <v>2026</v>
      </c>
      <c r="C695">
        <v>1</v>
      </c>
      <c r="D695" t="s">
        <v>48</v>
      </c>
      <c r="E695" t="s">
        <v>43</v>
      </c>
      <c r="F695" t="s">
        <v>30</v>
      </c>
      <c r="G695" t="s">
        <v>31</v>
      </c>
      <c r="H695">
        <v>1</v>
      </c>
      <c r="I695">
        <v>2500</v>
      </c>
    </row>
    <row r="696" spans="1:9" x14ac:dyDescent="0.3">
      <c r="A696" s="1">
        <v>46262</v>
      </c>
      <c r="B696">
        <v>2026</v>
      </c>
      <c r="C696">
        <v>8</v>
      </c>
      <c r="D696" t="s">
        <v>42</v>
      </c>
      <c r="E696" t="s">
        <v>43</v>
      </c>
      <c r="F696" t="s">
        <v>30</v>
      </c>
      <c r="G696" t="s">
        <v>31</v>
      </c>
      <c r="H696">
        <v>4</v>
      </c>
      <c r="I696">
        <v>10000</v>
      </c>
    </row>
    <row r="697" spans="1:9" x14ac:dyDescent="0.3">
      <c r="A697" s="1">
        <v>46292</v>
      </c>
      <c r="B697">
        <v>2026</v>
      </c>
      <c r="C697">
        <v>9</v>
      </c>
      <c r="D697" t="s">
        <v>48</v>
      </c>
      <c r="E697" t="s">
        <v>43</v>
      </c>
      <c r="F697" t="s">
        <v>30</v>
      </c>
      <c r="G697" t="s">
        <v>31</v>
      </c>
      <c r="H697">
        <v>4</v>
      </c>
      <c r="I697">
        <v>10000</v>
      </c>
    </row>
    <row r="698" spans="1:9" x14ac:dyDescent="0.3">
      <c r="A698" s="1">
        <v>46045</v>
      </c>
      <c r="B698">
        <v>2026</v>
      </c>
      <c r="C698">
        <v>1</v>
      </c>
      <c r="D698" t="s">
        <v>51</v>
      </c>
      <c r="E698" t="s">
        <v>45</v>
      </c>
      <c r="F698" t="s">
        <v>30</v>
      </c>
      <c r="G698" t="s">
        <v>31</v>
      </c>
      <c r="H698">
        <v>5</v>
      </c>
      <c r="I698">
        <v>12500</v>
      </c>
    </row>
    <row r="699" spans="1:9" x14ac:dyDescent="0.3">
      <c r="A699" s="1">
        <v>46221</v>
      </c>
      <c r="B699">
        <v>2026</v>
      </c>
      <c r="C699">
        <v>7</v>
      </c>
      <c r="D699" t="s">
        <v>42</v>
      </c>
      <c r="E699" t="s">
        <v>43</v>
      </c>
      <c r="F699" t="s">
        <v>30</v>
      </c>
      <c r="G699" t="s">
        <v>31</v>
      </c>
      <c r="H699">
        <v>1</v>
      </c>
      <c r="I699">
        <v>2500</v>
      </c>
    </row>
    <row r="700" spans="1:9" x14ac:dyDescent="0.3">
      <c r="A700" s="1">
        <v>46063</v>
      </c>
      <c r="B700">
        <v>2026</v>
      </c>
      <c r="C700">
        <v>2</v>
      </c>
      <c r="D700" t="s">
        <v>50</v>
      </c>
      <c r="E700" t="s">
        <v>41</v>
      </c>
      <c r="F700" t="s">
        <v>30</v>
      </c>
      <c r="G700" t="s">
        <v>31</v>
      </c>
      <c r="H700">
        <v>4</v>
      </c>
      <c r="I700">
        <v>10000</v>
      </c>
    </row>
    <row r="701" spans="1:9" x14ac:dyDescent="0.3">
      <c r="A701" s="1">
        <v>46229</v>
      </c>
      <c r="B701">
        <v>2026</v>
      </c>
      <c r="C701">
        <v>7</v>
      </c>
      <c r="D701" t="s">
        <v>42</v>
      </c>
      <c r="E701" t="s">
        <v>43</v>
      </c>
      <c r="F701" t="s">
        <v>30</v>
      </c>
      <c r="G701" t="s">
        <v>31</v>
      </c>
      <c r="H701">
        <v>4</v>
      </c>
      <c r="I701">
        <v>10000</v>
      </c>
    </row>
    <row r="702" spans="1:9" x14ac:dyDescent="0.3">
      <c r="A702" s="1">
        <v>46146</v>
      </c>
      <c r="B702">
        <v>2026</v>
      </c>
      <c r="C702">
        <v>5</v>
      </c>
      <c r="D702" t="s">
        <v>42</v>
      </c>
      <c r="E702" t="s">
        <v>43</v>
      </c>
      <c r="F702" t="s">
        <v>30</v>
      </c>
      <c r="G702" t="s">
        <v>31</v>
      </c>
      <c r="H702">
        <v>3</v>
      </c>
      <c r="I702">
        <v>7500</v>
      </c>
    </row>
    <row r="703" spans="1:9" x14ac:dyDescent="0.3">
      <c r="A703" s="1">
        <v>46127</v>
      </c>
      <c r="B703">
        <v>2026</v>
      </c>
      <c r="C703">
        <v>4</v>
      </c>
      <c r="D703" t="s">
        <v>49</v>
      </c>
      <c r="E703" t="s">
        <v>47</v>
      </c>
      <c r="F703" t="s">
        <v>30</v>
      </c>
      <c r="G703" t="s">
        <v>31</v>
      </c>
      <c r="H703">
        <v>3</v>
      </c>
      <c r="I703">
        <v>7500</v>
      </c>
    </row>
    <row r="704" spans="1:9" x14ac:dyDescent="0.3">
      <c r="A704" s="1">
        <v>46153</v>
      </c>
      <c r="B704">
        <v>2026</v>
      </c>
      <c r="C704">
        <v>5</v>
      </c>
      <c r="D704" t="s">
        <v>48</v>
      </c>
      <c r="E704" t="s">
        <v>43</v>
      </c>
      <c r="F704" t="s">
        <v>30</v>
      </c>
      <c r="G704" t="s">
        <v>31</v>
      </c>
      <c r="H704">
        <v>1</v>
      </c>
      <c r="I704">
        <v>2500</v>
      </c>
    </row>
    <row r="705" spans="1:9" x14ac:dyDescent="0.3">
      <c r="A705" s="1">
        <v>46164</v>
      </c>
      <c r="B705">
        <v>2026</v>
      </c>
      <c r="C705">
        <v>5</v>
      </c>
      <c r="D705" t="s">
        <v>50</v>
      </c>
      <c r="E705" t="s">
        <v>41</v>
      </c>
      <c r="F705" t="s">
        <v>30</v>
      </c>
      <c r="G705" t="s">
        <v>31</v>
      </c>
      <c r="H705">
        <v>5</v>
      </c>
      <c r="I705">
        <v>12500</v>
      </c>
    </row>
    <row r="706" spans="1:9" x14ac:dyDescent="0.3">
      <c r="A706" s="1">
        <v>46215</v>
      </c>
      <c r="B706">
        <v>2026</v>
      </c>
      <c r="C706">
        <v>7</v>
      </c>
      <c r="D706" t="s">
        <v>44</v>
      </c>
      <c r="E706" t="s">
        <v>45</v>
      </c>
      <c r="F706" t="s">
        <v>30</v>
      </c>
      <c r="G706" t="s">
        <v>31</v>
      </c>
      <c r="H706">
        <v>1</v>
      </c>
      <c r="I706">
        <v>2500</v>
      </c>
    </row>
    <row r="707" spans="1:9" x14ac:dyDescent="0.3">
      <c r="A707" s="1">
        <v>46124</v>
      </c>
      <c r="B707">
        <v>2026</v>
      </c>
      <c r="C707">
        <v>4</v>
      </c>
      <c r="D707" t="s">
        <v>49</v>
      </c>
      <c r="E707" t="s">
        <v>47</v>
      </c>
      <c r="F707" t="s">
        <v>30</v>
      </c>
      <c r="G707" t="s">
        <v>31</v>
      </c>
      <c r="H707">
        <v>3</v>
      </c>
      <c r="I707">
        <v>7500</v>
      </c>
    </row>
    <row r="708" spans="1:9" x14ac:dyDescent="0.3">
      <c r="A708" s="1">
        <v>46086</v>
      </c>
      <c r="B708">
        <v>2026</v>
      </c>
      <c r="C708">
        <v>3</v>
      </c>
      <c r="D708" t="s">
        <v>44</v>
      </c>
      <c r="E708" t="s">
        <v>45</v>
      </c>
      <c r="F708" t="s">
        <v>30</v>
      </c>
      <c r="G708" t="s">
        <v>31</v>
      </c>
      <c r="H708">
        <v>2</v>
      </c>
      <c r="I708">
        <v>5000</v>
      </c>
    </row>
    <row r="709" spans="1:9" x14ac:dyDescent="0.3">
      <c r="A709" s="1">
        <v>46025</v>
      </c>
      <c r="B709">
        <v>2026</v>
      </c>
      <c r="C709">
        <v>1</v>
      </c>
      <c r="D709" t="s">
        <v>42</v>
      </c>
      <c r="E709" t="s">
        <v>43</v>
      </c>
      <c r="F709" t="s">
        <v>30</v>
      </c>
      <c r="G709" t="s">
        <v>31</v>
      </c>
      <c r="H709">
        <v>2</v>
      </c>
      <c r="I709">
        <v>5000</v>
      </c>
    </row>
    <row r="710" spans="1:9" x14ac:dyDescent="0.3">
      <c r="A710" s="1">
        <v>46248</v>
      </c>
      <c r="B710">
        <v>2026</v>
      </c>
      <c r="C710">
        <v>8</v>
      </c>
      <c r="D710" t="s">
        <v>42</v>
      </c>
      <c r="E710" t="s">
        <v>43</v>
      </c>
      <c r="F710" t="s">
        <v>30</v>
      </c>
      <c r="G710" t="s">
        <v>31</v>
      </c>
      <c r="H710">
        <v>1</v>
      </c>
      <c r="I710">
        <v>2500</v>
      </c>
    </row>
    <row r="711" spans="1:9" x14ac:dyDescent="0.3">
      <c r="A711" s="1">
        <v>46276</v>
      </c>
      <c r="B711">
        <v>2026</v>
      </c>
      <c r="C711">
        <v>9</v>
      </c>
      <c r="D711" t="s">
        <v>40</v>
      </c>
      <c r="E711" t="s">
        <v>41</v>
      </c>
      <c r="F711" t="s">
        <v>30</v>
      </c>
      <c r="G711" t="s">
        <v>31</v>
      </c>
      <c r="H711">
        <v>3</v>
      </c>
      <c r="I711">
        <v>7500</v>
      </c>
    </row>
    <row r="712" spans="1:9" x14ac:dyDescent="0.3">
      <c r="A712" s="1">
        <v>46225</v>
      </c>
      <c r="B712">
        <v>2026</v>
      </c>
      <c r="C712">
        <v>7</v>
      </c>
      <c r="D712" t="s">
        <v>50</v>
      </c>
      <c r="E712" t="s">
        <v>41</v>
      </c>
      <c r="F712" t="s">
        <v>30</v>
      </c>
      <c r="G712" t="s">
        <v>31</v>
      </c>
      <c r="H712">
        <v>5</v>
      </c>
      <c r="I712">
        <v>12500</v>
      </c>
    </row>
    <row r="713" spans="1:9" x14ac:dyDescent="0.3">
      <c r="A713" s="1">
        <v>46172</v>
      </c>
      <c r="B713">
        <v>2026</v>
      </c>
      <c r="C713">
        <v>5</v>
      </c>
      <c r="D713" t="s">
        <v>46</v>
      </c>
      <c r="E713" t="s">
        <v>47</v>
      </c>
      <c r="F713" t="s">
        <v>30</v>
      </c>
      <c r="G713" t="s">
        <v>31</v>
      </c>
      <c r="H713">
        <v>1</v>
      </c>
      <c r="I713">
        <v>2500</v>
      </c>
    </row>
    <row r="714" spans="1:9" x14ac:dyDescent="0.3">
      <c r="A714" s="1">
        <v>46041</v>
      </c>
      <c r="B714">
        <v>2026</v>
      </c>
      <c r="C714">
        <v>1</v>
      </c>
      <c r="D714" t="s">
        <v>50</v>
      </c>
      <c r="E714" t="s">
        <v>41</v>
      </c>
      <c r="F714" t="s">
        <v>30</v>
      </c>
      <c r="G714" t="s">
        <v>31</v>
      </c>
      <c r="H714">
        <v>3</v>
      </c>
      <c r="I714">
        <v>7500</v>
      </c>
    </row>
    <row r="715" spans="1:9" x14ac:dyDescent="0.3">
      <c r="A715" s="1">
        <v>46114</v>
      </c>
      <c r="B715">
        <v>2026</v>
      </c>
      <c r="C715">
        <v>4</v>
      </c>
      <c r="D715" t="s">
        <v>50</v>
      </c>
      <c r="E715" t="s">
        <v>41</v>
      </c>
      <c r="F715" t="s">
        <v>30</v>
      </c>
      <c r="G715" t="s">
        <v>31</v>
      </c>
      <c r="H715">
        <v>4</v>
      </c>
      <c r="I715">
        <v>10000</v>
      </c>
    </row>
    <row r="716" spans="1:9" x14ac:dyDescent="0.3">
      <c r="A716" s="1">
        <v>46098</v>
      </c>
      <c r="B716">
        <v>2026</v>
      </c>
      <c r="C716">
        <v>3</v>
      </c>
      <c r="D716" t="s">
        <v>44</v>
      </c>
      <c r="E716" t="s">
        <v>45</v>
      </c>
      <c r="F716" t="s">
        <v>30</v>
      </c>
      <c r="G716" t="s">
        <v>31</v>
      </c>
      <c r="H716">
        <v>3</v>
      </c>
      <c r="I716">
        <v>7500</v>
      </c>
    </row>
    <row r="717" spans="1:9" x14ac:dyDescent="0.3">
      <c r="A717" s="1">
        <v>46265</v>
      </c>
      <c r="B717">
        <v>2026</v>
      </c>
      <c r="C717">
        <v>8</v>
      </c>
      <c r="D717" t="s">
        <v>40</v>
      </c>
      <c r="E717" t="s">
        <v>41</v>
      </c>
      <c r="F717" t="s">
        <v>30</v>
      </c>
      <c r="G717" t="s">
        <v>31</v>
      </c>
      <c r="H717">
        <v>5</v>
      </c>
      <c r="I717">
        <v>12500</v>
      </c>
    </row>
    <row r="718" spans="1:9" x14ac:dyDescent="0.3">
      <c r="A718" s="1">
        <v>46309</v>
      </c>
      <c r="B718">
        <v>2026</v>
      </c>
      <c r="C718">
        <v>10</v>
      </c>
      <c r="D718" t="s">
        <v>44</v>
      </c>
      <c r="E718" t="s">
        <v>45</v>
      </c>
      <c r="F718" t="s">
        <v>30</v>
      </c>
      <c r="G718" t="s">
        <v>31</v>
      </c>
      <c r="H718">
        <v>2</v>
      </c>
      <c r="I718">
        <v>5000</v>
      </c>
    </row>
    <row r="719" spans="1:9" x14ac:dyDescent="0.3">
      <c r="A719" s="1">
        <v>46317</v>
      </c>
      <c r="B719">
        <v>2026</v>
      </c>
      <c r="C719">
        <v>10</v>
      </c>
      <c r="D719" t="s">
        <v>50</v>
      </c>
      <c r="E719" t="s">
        <v>41</v>
      </c>
      <c r="F719" t="s">
        <v>30</v>
      </c>
      <c r="G719" t="s">
        <v>31</v>
      </c>
      <c r="H719">
        <v>3</v>
      </c>
      <c r="I719">
        <v>7500</v>
      </c>
    </row>
    <row r="720" spans="1:9" x14ac:dyDescent="0.3">
      <c r="A720" s="1">
        <v>46214</v>
      </c>
      <c r="B720">
        <v>2026</v>
      </c>
      <c r="C720">
        <v>7</v>
      </c>
      <c r="D720" t="s">
        <v>40</v>
      </c>
      <c r="E720" t="s">
        <v>41</v>
      </c>
      <c r="F720" t="s">
        <v>30</v>
      </c>
      <c r="G720" t="s">
        <v>31</v>
      </c>
      <c r="H720">
        <v>5</v>
      </c>
      <c r="I720">
        <v>12500</v>
      </c>
    </row>
    <row r="721" spans="1:9" x14ac:dyDescent="0.3">
      <c r="A721" s="1">
        <v>46066</v>
      </c>
      <c r="B721">
        <v>2026</v>
      </c>
      <c r="C721">
        <v>2</v>
      </c>
      <c r="D721" t="s">
        <v>40</v>
      </c>
      <c r="E721" t="s">
        <v>41</v>
      </c>
      <c r="F721" t="s">
        <v>30</v>
      </c>
      <c r="G721" t="s">
        <v>31</v>
      </c>
      <c r="H721">
        <v>1</v>
      </c>
      <c r="I721">
        <v>2500</v>
      </c>
    </row>
    <row r="722" spans="1:9" x14ac:dyDescent="0.3">
      <c r="A722" s="1">
        <v>46030</v>
      </c>
      <c r="B722">
        <v>2026</v>
      </c>
      <c r="C722">
        <v>1</v>
      </c>
      <c r="D722" t="s">
        <v>48</v>
      </c>
      <c r="E722" t="s">
        <v>43</v>
      </c>
      <c r="F722" t="s">
        <v>30</v>
      </c>
      <c r="G722" t="s">
        <v>31</v>
      </c>
      <c r="H722">
        <v>4</v>
      </c>
      <c r="I722">
        <v>10000</v>
      </c>
    </row>
    <row r="723" spans="1:9" x14ac:dyDescent="0.3">
      <c r="A723" s="1">
        <v>46258</v>
      </c>
      <c r="B723">
        <v>2026</v>
      </c>
      <c r="C723">
        <v>8</v>
      </c>
      <c r="D723" t="s">
        <v>42</v>
      </c>
      <c r="E723" t="s">
        <v>43</v>
      </c>
      <c r="F723" t="s">
        <v>30</v>
      </c>
      <c r="G723" t="s">
        <v>31</v>
      </c>
      <c r="H723">
        <v>2</v>
      </c>
      <c r="I723">
        <v>5000</v>
      </c>
    </row>
    <row r="724" spans="1:9" x14ac:dyDescent="0.3">
      <c r="A724" s="1">
        <v>46286</v>
      </c>
      <c r="B724">
        <v>2026</v>
      </c>
      <c r="C724">
        <v>9</v>
      </c>
      <c r="D724" t="s">
        <v>49</v>
      </c>
      <c r="E724" t="s">
        <v>47</v>
      </c>
      <c r="F724" t="s">
        <v>30</v>
      </c>
      <c r="G724" t="s">
        <v>31</v>
      </c>
      <c r="H724">
        <v>1</v>
      </c>
      <c r="I724">
        <v>2500</v>
      </c>
    </row>
    <row r="725" spans="1:9" x14ac:dyDescent="0.3">
      <c r="A725" s="1">
        <v>46043</v>
      </c>
      <c r="B725">
        <v>2026</v>
      </c>
      <c r="C725">
        <v>1</v>
      </c>
      <c r="D725" t="s">
        <v>51</v>
      </c>
      <c r="E725" t="s">
        <v>45</v>
      </c>
      <c r="F725" t="s">
        <v>30</v>
      </c>
      <c r="G725" t="s">
        <v>31</v>
      </c>
      <c r="H725">
        <v>4</v>
      </c>
      <c r="I725">
        <v>10000</v>
      </c>
    </row>
    <row r="726" spans="1:9" x14ac:dyDescent="0.3">
      <c r="A726" s="1">
        <v>46204</v>
      </c>
      <c r="B726">
        <v>2026</v>
      </c>
      <c r="C726">
        <v>7</v>
      </c>
      <c r="D726" t="s">
        <v>50</v>
      </c>
      <c r="E726" t="s">
        <v>41</v>
      </c>
      <c r="F726" t="s">
        <v>30</v>
      </c>
      <c r="G726" t="s">
        <v>31</v>
      </c>
      <c r="H726">
        <v>1</v>
      </c>
      <c r="I726">
        <v>2500</v>
      </c>
    </row>
    <row r="727" spans="1:9" x14ac:dyDescent="0.3">
      <c r="A727" s="1">
        <v>46029</v>
      </c>
      <c r="B727">
        <v>2026</v>
      </c>
      <c r="C727">
        <v>1</v>
      </c>
      <c r="D727" t="s">
        <v>44</v>
      </c>
      <c r="E727" t="s">
        <v>45</v>
      </c>
      <c r="F727" t="s">
        <v>30</v>
      </c>
      <c r="G727" t="s">
        <v>31</v>
      </c>
      <c r="H727">
        <v>5</v>
      </c>
      <c r="I727">
        <v>12500</v>
      </c>
    </row>
    <row r="728" spans="1:9" x14ac:dyDescent="0.3">
      <c r="A728" s="1">
        <v>46322</v>
      </c>
      <c r="B728">
        <v>2026</v>
      </c>
      <c r="C728">
        <v>10</v>
      </c>
      <c r="D728" t="s">
        <v>48</v>
      </c>
      <c r="E728" t="s">
        <v>43</v>
      </c>
      <c r="F728" t="s">
        <v>30</v>
      </c>
      <c r="G728" t="s">
        <v>31</v>
      </c>
      <c r="H728">
        <v>3</v>
      </c>
      <c r="I728">
        <v>7500</v>
      </c>
    </row>
    <row r="729" spans="1:9" x14ac:dyDescent="0.3">
      <c r="A729" s="1">
        <v>46236</v>
      </c>
      <c r="B729">
        <v>2026</v>
      </c>
      <c r="C729">
        <v>8</v>
      </c>
      <c r="D729" t="s">
        <v>42</v>
      </c>
      <c r="E729" t="s">
        <v>43</v>
      </c>
      <c r="F729" t="s">
        <v>30</v>
      </c>
      <c r="G729" t="s">
        <v>31</v>
      </c>
      <c r="H729">
        <v>2</v>
      </c>
      <c r="I729">
        <v>5000</v>
      </c>
    </row>
    <row r="730" spans="1:9" x14ac:dyDescent="0.3">
      <c r="A730" s="1">
        <v>46139</v>
      </c>
      <c r="B730">
        <v>2026</v>
      </c>
      <c r="C730">
        <v>4</v>
      </c>
      <c r="D730" t="s">
        <v>50</v>
      </c>
      <c r="E730" t="s">
        <v>41</v>
      </c>
      <c r="F730" t="s">
        <v>30</v>
      </c>
      <c r="G730" t="s">
        <v>31</v>
      </c>
      <c r="H730">
        <v>2</v>
      </c>
      <c r="I730">
        <v>5000</v>
      </c>
    </row>
    <row r="731" spans="1:9" x14ac:dyDescent="0.3">
      <c r="A731" s="1">
        <v>46073</v>
      </c>
      <c r="B731">
        <v>2026</v>
      </c>
      <c r="C731">
        <v>2</v>
      </c>
      <c r="D731" t="s">
        <v>42</v>
      </c>
      <c r="E731" t="s">
        <v>43</v>
      </c>
      <c r="F731" t="s">
        <v>30</v>
      </c>
      <c r="G731" t="s">
        <v>31</v>
      </c>
      <c r="H731">
        <v>1</v>
      </c>
      <c r="I731">
        <v>2500</v>
      </c>
    </row>
    <row r="732" spans="1:9" x14ac:dyDescent="0.3">
      <c r="A732" s="1">
        <v>46024</v>
      </c>
      <c r="B732">
        <v>2026</v>
      </c>
      <c r="C732">
        <v>1</v>
      </c>
      <c r="D732" t="s">
        <v>51</v>
      </c>
      <c r="E732" t="s">
        <v>45</v>
      </c>
      <c r="F732" t="s">
        <v>30</v>
      </c>
      <c r="G732" t="s">
        <v>31</v>
      </c>
      <c r="H732">
        <v>4</v>
      </c>
      <c r="I732">
        <v>10000</v>
      </c>
    </row>
    <row r="733" spans="1:9" x14ac:dyDescent="0.3">
      <c r="A733" s="1">
        <v>46322</v>
      </c>
      <c r="B733">
        <v>2026</v>
      </c>
      <c r="C733">
        <v>10</v>
      </c>
      <c r="D733" t="s">
        <v>49</v>
      </c>
      <c r="E733" t="s">
        <v>47</v>
      </c>
      <c r="F733" t="s">
        <v>30</v>
      </c>
      <c r="G733" t="s">
        <v>31</v>
      </c>
      <c r="H733">
        <v>5</v>
      </c>
      <c r="I733">
        <v>12500</v>
      </c>
    </row>
    <row r="734" spans="1:9" x14ac:dyDescent="0.3">
      <c r="A734" s="1">
        <v>46136</v>
      </c>
      <c r="B734">
        <v>2026</v>
      </c>
      <c r="C734">
        <v>4</v>
      </c>
      <c r="D734" t="s">
        <v>50</v>
      </c>
      <c r="E734" t="s">
        <v>41</v>
      </c>
      <c r="F734" t="s">
        <v>30</v>
      </c>
      <c r="G734" t="s">
        <v>31</v>
      </c>
      <c r="H734">
        <v>4</v>
      </c>
      <c r="I734">
        <v>10000</v>
      </c>
    </row>
    <row r="735" spans="1:9" x14ac:dyDescent="0.3">
      <c r="A735" s="1">
        <v>46277</v>
      </c>
      <c r="B735">
        <v>2026</v>
      </c>
      <c r="C735">
        <v>9</v>
      </c>
      <c r="D735" t="s">
        <v>42</v>
      </c>
      <c r="E735" t="s">
        <v>43</v>
      </c>
      <c r="F735" t="s">
        <v>30</v>
      </c>
      <c r="G735" t="s">
        <v>31</v>
      </c>
      <c r="H735">
        <v>4</v>
      </c>
      <c r="I735">
        <v>10000</v>
      </c>
    </row>
    <row r="736" spans="1:9" x14ac:dyDescent="0.3">
      <c r="A736" s="1">
        <v>46256</v>
      </c>
      <c r="B736">
        <v>2026</v>
      </c>
      <c r="C736">
        <v>8</v>
      </c>
      <c r="D736" t="s">
        <v>46</v>
      </c>
      <c r="E736" t="s">
        <v>47</v>
      </c>
      <c r="F736" t="s">
        <v>30</v>
      </c>
      <c r="G736" t="s">
        <v>31</v>
      </c>
      <c r="H736">
        <v>1</v>
      </c>
      <c r="I736">
        <v>2500</v>
      </c>
    </row>
    <row r="737" spans="1:9" x14ac:dyDescent="0.3">
      <c r="A737" s="1">
        <v>46149</v>
      </c>
      <c r="B737">
        <v>2026</v>
      </c>
      <c r="C737">
        <v>5</v>
      </c>
      <c r="D737" t="s">
        <v>42</v>
      </c>
      <c r="E737" t="s">
        <v>43</v>
      </c>
      <c r="F737" t="s">
        <v>30</v>
      </c>
      <c r="G737" t="s">
        <v>31</v>
      </c>
      <c r="H737">
        <v>3</v>
      </c>
      <c r="I737">
        <v>7500</v>
      </c>
    </row>
    <row r="738" spans="1:9" x14ac:dyDescent="0.3">
      <c r="A738" s="1">
        <v>46213</v>
      </c>
      <c r="B738">
        <v>2026</v>
      </c>
      <c r="C738">
        <v>7</v>
      </c>
      <c r="D738" t="s">
        <v>40</v>
      </c>
      <c r="E738" t="s">
        <v>41</v>
      </c>
      <c r="F738" t="s">
        <v>30</v>
      </c>
      <c r="G738" t="s">
        <v>31</v>
      </c>
      <c r="H738">
        <v>4</v>
      </c>
      <c r="I738">
        <v>10000</v>
      </c>
    </row>
    <row r="739" spans="1:9" x14ac:dyDescent="0.3">
      <c r="A739" s="1">
        <v>46233</v>
      </c>
      <c r="B739">
        <v>2026</v>
      </c>
      <c r="C739">
        <v>7</v>
      </c>
      <c r="D739" t="s">
        <v>49</v>
      </c>
      <c r="E739" t="s">
        <v>47</v>
      </c>
      <c r="F739" t="s">
        <v>30</v>
      </c>
      <c r="G739" t="s">
        <v>31</v>
      </c>
      <c r="H739">
        <v>2</v>
      </c>
      <c r="I739">
        <v>5000</v>
      </c>
    </row>
    <row r="740" spans="1:9" x14ac:dyDescent="0.3">
      <c r="A740" s="1">
        <v>46204</v>
      </c>
      <c r="B740">
        <v>2026</v>
      </c>
      <c r="C740">
        <v>7</v>
      </c>
      <c r="D740" t="s">
        <v>48</v>
      </c>
      <c r="E740" t="s">
        <v>43</v>
      </c>
      <c r="F740" t="s">
        <v>30</v>
      </c>
      <c r="G740" t="s">
        <v>31</v>
      </c>
      <c r="H740">
        <v>1</v>
      </c>
      <c r="I740">
        <v>2500</v>
      </c>
    </row>
    <row r="741" spans="1:9" x14ac:dyDescent="0.3">
      <c r="A741" s="1">
        <v>46196</v>
      </c>
      <c r="B741">
        <v>2026</v>
      </c>
      <c r="C741">
        <v>6</v>
      </c>
      <c r="D741" t="s">
        <v>50</v>
      </c>
      <c r="E741" t="s">
        <v>41</v>
      </c>
      <c r="F741" t="s">
        <v>30</v>
      </c>
      <c r="G741" t="s">
        <v>31</v>
      </c>
      <c r="H741">
        <v>3</v>
      </c>
      <c r="I741">
        <v>7500</v>
      </c>
    </row>
    <row r="742" spans="1:9" x14ac:dyDescent="0.3">
      <c r="A742" s="1">
        <v>46046</v>
      </c>
      <c r="B742">
        <v>2026</v>
      </c>
      <c r="C742">
        <v>1</v>
      </c>
      <c r="D742" t="s">
        <v>50</v>
      </c>
      <c r="E742" t="s">
        <v>41</v>
      </c>
      <c r="F742" t="s">
        <v>30</v>
      </c>
      <c r="G742" t="s">
        <v>31</v>
      </c>
      <c r="H742">
        <v>3</v>
      </c>
      <c r="I742">
        <v>7500</v>
      </c>
    </row>
    <row r="743" spans="1:9" x14ac:dyDescent="0.3">
      <c r="A743" s="1">
        <v>46078</v>
      </c>
      <c r="B743">
        <v>2026</v>
      </c>
      <c r="C743">
        <v>2</v>
      </c>
      <c r="D743" t="s">
        <v>40</v>
      </c>
      <c r="E743" t="s">
        <v>41</v>
      </c>
      <c r="F743" t="s">
        <v>30</v>
      </c>
      <c r="G743" t="s">
        <v>31</v>
      </c>
      <c r="H743">
        <v>3</v>
      </c>
      <c r="I743">
        <v>7500</v>
      </c>
    </row>
    <row r="744" spans="1:9" x14ac:dyDescent="0.3">
      <c r="A744" s="1">
        <v>46059</v>
      </c>
      <c r="B744">
        <v>2026</v>
      </c>
      <c r="C744">
        <v>2</v>
      </c>
      <c r="D744" t="s">
        <v>51</v>
      </c>
      <c r="E744" t="s">
        <v>45</v>
      </c>
      <c r="F744" t="s">
        <v>30</v>
      </c>
      <c r="G744" t="s">
        <v>31</v>
      </c>
      <c r="H744">
        <v>2</v>
      </c>
      <c r="I744">
        <v>5000</v>
      </c>
    </row>
    <row r="745" spans="1:9" x14ac:dyDescent="0.3">
      <c r="A745" s="1">
        <v>46092</v>
      </c>
      <c r="B745">
        <v>2026</v>
      </c>
      <c r="C745">
        <v>3</v>
      </c>
      <c r="D745" t="s">
        <v>49</v>
      </c>
      <c r="E745" t="s">
        <v>47</v>
      </c>
      <c r="F745" t="s">
        <v>30</v>
      </c>
      <c r="G745" t="s">
        <v>31</v>
      </c>
      <c r="H745">
        <v>1</v>
      </c>
      <c r="I745">
        <v>2500</v>
      </c>
    </row>
    <row r="746" spans="1:9" x14ac:dyDescent="0.3">
      <c r="A746" s="1">
        <v>46053</v>
      </c>
      <c r="B746">
        <v>2026</v>
      </c>
      <c r="C746">
        <v>1</v>
      </c>
      <c r="D746" t="s">
        <v>42</v>
      </c>
      <c r="E746" t="s">
        <v>43</v>
      </c>
      <c r="F746" t="s">
        <v>30</v>
      </c>
      <c r="G746" t="s">
        <v>31</v>
      </c>
      <c r="H746">
        <v>5</v>
      </c>
      <c r="I746">
        <v>12500</v>
      </c>
    </row>
    <row r="747" spans="1:9" x14ac:dyDescent="0.3">
      <c r="A747" s="1">
        <v>46177</v>
      </c>
      <c r="B747">
        <v>2026</v>
      </c>
      <c r="C747">
        <v>6</v>
      </c>
      <c r="D747" t="s">
        <v>49</v>
      </c>
      <c r="E747" t="s">
        <v>47</v>
      </c>
      <c r="F747" t="s">
        <v>30</v>
      </c>
      <c r="G747" t="s">
        <v>31</v>
      </c>
      <c r="H747">
        <v>5</v>
      </c>
      <c r="I747">
        <v>12500</v>
      </c>
    </row>
    <row r="748" spans="1:9" x14ac:dyDescent="0.3">
      <c r="A748" s="1">
        <v>46124</v>
      </c>
      <c r="B748">
        <v>2026</v>
      </c>
      <c r="C748">
        <v>4</v>
      </c>
      <c r="D748" t="s">
        <v>42</v>
      </c>
      <c r="E748" t="s">
        <v>43</v>
      </c>
      <c r="F748" t="s">
        <v>30</v>
      </c>
      <c r="G748" t="s">
        <v>31</v>
      </c>
      <c r="H748">
        <v>4</v>
      </c>
      <c r="I748">
        <v>10000</v>
      </c>
    </row>
    <row r="749" spans="1:9" x14ac:dyDescent="0.3">
      <c r="A749" s="1">
        <v>46157</v>
      </c>
      <c r="B749">
        <v>2026</v>
      </c>
      <c r="C749">
        <v>5</v>
      </c>
      <c r="D749" t="s">
        <v>50</v>
      </c>
      <c r="E749" t="s">
        <v>41</v>
      </c>
      <c r="F749" t="s">
        <v>30</v>
      </c>
      <c r="G749" t="s">
        <v>31</v>
      </c>
      <c r="H749">
        <v>3</v>
      </c>
      <c r="I749">
        <v>7500</v>
      </c>
    </row>
    <row r="750" spans="1:9" x14ac:dyDescent="0.3">
      <c r="A750" s="1">
        <v>46159</v>
      </c>
      <c r="B750">
        <v>2026</v>
      </c>
      <c r="C750">
        <v>5</v>
      </c>
      <c r="D750" t="s">
        <v>42</v>
      </c>
      <c r="E750" t="s">
        <v>43</v>
      </c>
      <c r="F750" t="s">
        <v>30</v>
      </c>
      <c r="G750" t="s">
        <v>31</v>
      </c>
      <c r="H750">
        <v>3</v>
      </c>
      <c r="I750">
        <v>7500</v>
      </c>
    </row>
    <row r="751" spans="1:9" x14ac:dyDescent="0.3">
      <c r="A751" s="1">
        <v>46079</v>
      </c>
      <c r="B751">
        <v>2026</v>
      </c>
      <c r="C751">
        <v>2</v>
      </c>
      <c r="D751" t="s">
        <v>50</v>
      </c>
      <c r="E751" t="s">
        <v>41</v>
      </c>
      <c r="F751" t="s">
        <v>30</v>
      </c>
      <c r="G751" t="s">
        <v>31</v>
      </c>
      <c r="H751">
        <v>3</v>
      </c>
      <c r="I751">
        <v>7500</v>
      </c>
    </row>
    <row r="752" spans="1:9" x14ac:dyDescent="0.3">
      <c r="A752" s="1">
        <v>46251</v>
      </c>
      <c r="B752">
        <v>2026</v>
      </c>
      <c r="C752">
        <v>8</v>
      </c>
      <c r="D752" t="s">
        <v>42</v>
      </c>
      <c r="E752" t="s">
        <v>43</v>
      </c>
      <c r="F752" t="s">
        <v>30</v>
      </c>
      <c r="G752" t="s">
        <v>31</v>
      </c>
      <c r="H752">
        <v>1</v>
      </c>
      <c r="I752">
        <v>2500</v>
      </c>
    </row>
    <row r="753" spans="1:9" x14ac:dyDescent="0.3">
      <c r="A753" s="1">
        <v>46155</v>
      </c>
      <c r="B753">
        <v>2026</v>
      </c>
      <c r="C753">
        <v>5</v>
      </c>
      <c r="D753" t="s">
        <v>44</v>
      </c>
      <c r="E753" t="s">
        <v>45</v>
      </c>
      <c r="F753" t="s">
        <v>30</v>
      </c>
      <c r="G753" t="s">
        <v>31</v>
      </c>
      <c r="H753">
        <v>1</v>
      </c>
      <c r="I753">
        <v>2500</v>
      </c>
    </row>
    <row r="754" spans="1:9" x14ac:dyDescent="0.3">
      <c r="A754" s="1">
        <v>46043</v>
      </c>
      <c r="B754">
        <v>2026</v>
      </c>
      <c r="C754">
        <v>1</v>
      </c>
      <c r="D754" t="s">
        <v>51</v>
      </c>
      <c r="E754" t="s">
        <v>45</v>
      </c>
      <c r="F754" t="s">
        <v>30</v>
      </c>
      <c r="G754" t="s">
        <v>31</v>
      </c>
      <c r="H754">
        <v>2</v>
      </c>
      <c r="I754">
        <v>5000</v>
      </c>
    </row>
    <row r="755" spans="1:9" x14ac:dyDescent="0.3">
      <c r="A755" s="1">
        <v>46290</v>
      </c>
      <c r="B755">
        <v>2026</v>
      </c>
      <c r="C755">
        <v>9</v>
      </c>
      <c r="D755" t="s">
        <v>49</v>
      </c>
      <c r="E755" t="s">
        <v>47</v>
      </c>
      <c r="F755" t="s">
        <v>30</v>
      </c>
      <c r="G755" t="s">
        <v>31</v>
      </c>
      <c r="H755">
        <v>5</v>
      </c>
      <c r="I755">
        <v>12500</v>
      </c>
    </row>
    <row r="756" spans="1:9" x14ac:dyDescent="0.3">
      <c r="A756" s="1">
        <v>46121</v>
      </c>
      <c r="B756">
        <v>2026</v>
      </c>
      <c r="C756">
        <v>4</v>
      </c>
      <c r="D756" t="s">
        <v>49</v>
      </c>
      <c r="E756" t="s">
        <v>47</v>
      </c>
      <c r="F756" t="s">
        <v>30</v>
      </c>
      <c r="G756" t="s">
        <v>31</v>
      </c>
      <c r="H756">
        <v>3</v>
      </c>
      <c r="I756">
        <v>7500</v>
      </c>
    </row>
    <row r="757" spans="1:9" x14ac:dyDescent="0.3">
      <c r="A757" s="1">
        <v>46059</v>
      </c>
      <c r="B757">
        <v>2026</v>
      </c>
      <c r="C757">
        <v>2</v>
      </c>
      <c r="D757" t="s">
        <v>40</v>
      </c>
      <c r="E757" t="s">
        <v>41</v>
      </c>
      <c r="F757" t="s">
        <v>30</v>
      </c>
      <c r="G757" t="s">
        <v>31</v>
      </c>
      <c r="H757">
        <v>4</v>
      </c>
      <c r="I757">
        <v>10000</v>
      </c>
    </row>
    <row r="758" spans="1:9" x14ac:dyDescent="0.3">
      <c r="A758" s="1">
        <v>46273</v>
      </c>
      <c r="B758">
        <v>2026</v>
      </c>
      <c r="C758">
        <v>9</v>
      </c>
      <c r="D758" t="s">
        <v>40</v>
      </c>
      <c r="E758" t="s">
        <v>41</v>
      </c>
      <c r="F758" t="s">
        <v>30</v>
      </c>
      <c r="G758" t="s">
        <v>31</v>
      </c>
      <c r="H758">
        <v>2</v>
      </c>
      <c r="I758">
        <v>5000</v>
      </c>
    </row>
    <row r="759" spans="1:9" x14ac:dyDescent="0.3">
      <c r="A759" s="1">
        <v>46230</v>
      </c>
      <c r="B759">
        <v>2026</v>
      </c>
      <c r="C759">
        <v>7</v>
      </c>
      <c r="D759" t="s">
        <v>46</v>
      </c>
      <c r="E759" t="s">
        <v>47</v>
      </c>
      <c r="F759" t="s">
        <v>30</v>
      </c>
      <c r="G759" t="s">
        <v>31</v>
      </c>
      <c r="H759">
        <v>3</v>
      </c>
      <c r="I759">
        <v>7500</v>
      </c>
    </row>
    <row r="760" spans="1:9" x14ac:dyDescent="0.3">
      <c r="A760" s="1">
        <v>46280</v>
      </c>
      <c r="B760">
        <v>2026</v>
      </c>
      <c r="C760">
        <v>9</v>
      </c>
      <c r="D760" t="s">
        <v>48</v>
      </c>
      <c r="E760" t="s">
        <v>43</v>
      </c>
      <c r="F760" t="s">
        <v>30</v>
      </c>
      <c r="G760" t="s">
        <v>31</v>
      </c>
      <c r="H760">
        <v>3</v>
      </c>
      <c r="I760">
        <v>7500</v>
      </c>
    </row>
    <row r="761" spans="1:9" x14ac:dyDescent="0.3">
      <c r="A761" s="1">
        <v>46278</v>
      </c>
      <c r="B761">
        <v>2026</v>
      </c>
      <c r="C761">
        <v>9</v>
      </c>
      <c r="D761" t="s">
        <v>40</v>
      </c>
      <c r="E761" t="s">
        <v>41</v>
      </c>
      <c r="F761" t="s">
        <v>30</v>
      </c>
      <c r="G761" t="s">
        <v>31</v>
      </c>
      <c r="H761">
        <v>4</v>
      </c>
      <c r="I761">
        <v>10000</v>
      </c>
    </row>
    <row r="762" spans="1:9" x14ac:dyDescent="0.3">
      <c r="A762" s="1">
        <v>46083</v>
      </c>
      <c r="B762">
        <v>2026</v>
      </c>
      <c r="C762">
        <v>3</v>
      </c>
      <c r="D762" t="s">
        <v>42</v>
      </c>
      <c r="E762" t="s">
        <v>43</v>
      </c>
      <c r="F762" t="s">
        <v>30</v>
      </c>
      <c r="G762" t="s">
        <v>31</v>
      </c>
      <c r="H762">
        <v>2</v>
      </c>
      <c r="I762">
        <v>5000</v>
      </c>
    </row>
    <row r="763" spans="1:9" x14ac:dyDescent="0.3">
      <c r="A763" s="1">
        <v>46225</v>
      </c>
      <c r="B763">
        <v>2026</v>
      </c>
      <c r="C763">
        <v>7</v>
      </c>
      <c r="D763" t="s">
        <v>46</v>
      </c>
      <c r="E763" t="s">
        <v>47</v>
      </c>
      <c r="F763" t="s">
        <v>30</v>
      </c>
      <c r="G763" t="s">
        <v>31</v>
      </c>
      <c r="H763">
        <v>1</v>
      </c>
      <c r="I763">
        <v>2500</v>
      </c>
    </row>
    <row r="764" spans="1:9" x14ac:dyDescent="0.3">
      <c r="A764" s="1">
        <v>46272</v>
      </c>
      <c r="B764">
        <v>2026</v>
      </c>
      <c r="C764">
        <v>9</v>
      </c>
      <c r="D764" t="s">
        <v>44</v>
      </c>
      <c r="E764" t="s">
        <v>45</v>
      </c>
      <c r="F764" t="s">
        <v>30</v>
      </c>
      <c r="G764" t="s">
        <v>31</v>
      </c>
      <c r="H764">
        <v>2</v>
      </c>
      <c r="I764">
        <v>5000</v>
      </c>
    </row>
    <row r="765" spans="1:9" x14ac:dyDescent="0.3">
      <c r="A765" s="1">
        <v>46191</v>
      </c>
      <c r="B765">
        <v>2026</v>
      </c>
      <c r="C765">
        <v>6</v>
      </c>
      <c r="D765" t="s">
        <v>42</v>
      </c>
      <c r="E765" t="s">
        <v>43</v>
      </c>
      <c r="F765" t="s">
        <v>30</v>
      </c>
      <c r="G765" t="s">
        <v>31</v>
      </c>
      <c r="H765">
        <v>5</v>
      </c>
      <c r="I765">
        <v>12500</v>
      </c>
    </row>
    <row r="766" spans="1:9" x14ac:dyDescent="0.3">
      <c r="A766" s="1">
        <v>46096</v>
      </c>
      <c r="B766">
        <v>2026</v>
      </c>
      <c r="C766">
        <v>3</v>
      </c>
      <c r="D766" t="s">
        <v>48</v>
      </c>
      <c r="E766" t="s">
        <v>43</v>
      </c>
      <c r="F766" t="s">
        <v>30</v>
      </c>
      <c r="G766" t="s">
        <v>31</v>
      </c>
      <c r="H766">
        <v>3</v>
      </c>
      <c r="I766">
        <v>7500</v>
      </c>
    </row>
    <row r="767" spans="1:9" x14ac:dyDescent="0.3">
      <c r="A767" s="1">
        <v>46212</v>
      </c>
      <c r="B767">
        <v>2026</v>
      </c>
      <c r="C767">
        <v>7</v>
      </c>
      <c r="D767" t="s">
        <v>49</v>
      </c>
      <c r="E767" t="s">
        <v>47</v>
      </c>
      <c r="F767" t="s">
        <v>30</v>
      </c>
      <c r="G767" t="s">
        <v>31</v>
      </c>
      <c r="H767">
        <v>1</v>
      </c>
      <c r="I767">
        <v>2500</v>
      </c>
    </row>
    <row r="768" spans="1:9" x14ac:dyDescent="0.3">
      <c r="A768" s="1">
        <v>46032</v>
      </c>
      <c r="B768">
        <v>2026</v>
      </c>
      <c r="C768">
        <v>1</v>
      </c>
      <c r="D768" t="s">
        <v>51</v>
      </c>
      <c r="E768" t="s">
        <v>45</v>
      </c>
      <c r="F768" t="s">
        <v>30</v>
      </c>
      <c r="G768" t="s">
        <v>31</v>
      </c>
      <c r="H768">
        <v>4</v>
      </c>
      <c r="I768">
        <v>10000</v>
      </c>
    </row>
    <row r="769" spans="1:9" x14ac:dyDescent="0.3">
      <c r="A769" s="1">
        <v>46204</v>
      </c>
      <c r="B769">
        <v>2026</v>
      </c>
      <c r="C769">
        <v>7</v>
      </c>
      <c r="D769" t="s">
        <v>50</v>
      </c>
      <c r="E769" t="s">
        <v>41</v>
      </c>
      <c r="F769" t="s">
        <v>30</v>
      </c>
      <c r="G769" t="s">
        <v>31</v>
      </c>
      <c r="H769">
        <v>1</v>
      </c>
      <c r="I769">
        <v>2500</v>
      </c>
    </row>
    <row r="770" spans="1:9" x14ac:dyDescent="0.3">
      <c r="A770" s="1">
        <v>46240</v>
      </c>
      <c r="B770">
        <v>2026</v>
      </c>
      <c r="C770">
        <v>8</v>
      </c>
      <c r="D770" t="s">
        <v>42</v>
      </c>
      <c r="E770" t="s">
        <v>43</v>
      </c>
      <c r="F770" t="s">
        <v>30</v>
      </c>
      <c r="G770" t="s">
        <v>31</v>
      </c>
      <c r="H770">
        <v>1</v>
      </c>
      <c r="I770">
        <v>2500</v>
      </c>
    </row>
    <row r="771" spans="1:9" x14ac:dyDescent="0.3">
      <c r="A771" s="1">
        <v>46197</v>
      </c>
      <c r="B771">
        <v>2026</v>
      </c>
      <c r="C771">
        <v>6</v>
      </c>
      <c r="D771" t="s">
        <v>50</v>
      </c>
      <c r="E771" t="s">
        <v>41</v>
      </c>
      <c r="F771" t="s">
        <v>30</v>
      </c>
      <c r="G771" t="s">
        <v>31</v>
      </c>
      <c r="H771">
        <v>1</v>
      </c>
      <c r="I771">
        <v>2500</v>
      </c>
    </row>
    <row r="772" spans="1:9" x14ac:dyDescent="0.3">
      <c r="A772" s="1">
        <v>46208</v>
      </c>
      <c r="B772">
        <v>2026</v>
      </c>
      <c r="C772">
        <v>7</v>
      </c>
      <c r="D772" t="s">
        <v>46</v>
      </c>
      <c r="E772" t="s">
        <v>47</v>
      </c>
      <c r="F772" t="s">
        <v>30</v>
      </c>
      <c r="G772" t="s">
        <v>31</v>
      </c>
      <c r="H772">
        <v>5</v>
      </c>
      <c r="I772">
        <v>12500</v>
      </c>
    </row>
    <row r="773" spans="1:9" x14ac:dyDescent="0.3">
      <c r="A773" s="1">
        <v>46209</v>
      </c>
      <c r="B773">
        <v>2026</v>
      </c>
      <c r="C773">
        <v>7</v>
      </c>
      <c r="D773" t="s">
        <v>42</v>
      </c>
      <c r="E773" t="s">
        <v>43</v>
      </c>
      <c r="F773" t="s">
        <v>30</v>
      </c>
      <c r="G773" t="s">
        <v>31</v>
      </c>
      <c r="H773">
        <v>1</v>
      </c>
      <c r="I773">
        <v>2500</v>
      </c>
    </row>
    <row r="774" spans="1:9" x14ac:dyDescent="0.3">
      <c r="A774" s="1">
        <v>46095</v>
      </c>
      <c r="B774">
        <v>2026</v>
      </c>
      <c r="C774">
        <v>3</v>
      </c>
      <c r="D774" t="s">
        <v>42</v>
      </c>
      <c r="E774" t="s">
        <v>43</v>
      </c>
      <c r="F774" t="s">
        <v>30</v>
      </c>
      <c r="G774" t="s">
        <v>31</v>
      </c>
      <c r="H774">
        <v>3</v>
      </c>
      <c r="I774">
        <v>7500</v>
      </c>
    </row>
    <row r="775" spans="1:9" x14ac:dyDescent="0.3">
      <c r="A775" s="1">
        <v>46119</v>
      </c>
      <c r="B775">
        <v>2026</v>
      </c>
      <c r="C775">
        <v>4</v>
      </c>
      <c r="D775" t="s">
        <v>50</v>
      </c>
      <c r="E775" t="s">
        <v>41</v>
      </c>
      <c r="F775" t="s">
        <v>30</v>
      </c>
      <c r="G775" t="s">
        <v>31</v>
      </c>
      <c r="H775">
        <v>1</v>
      </c>
      <c r="I775">
        <v>2500</v>
      </c>
    </row>
    <row r="776" spans="1:9" x14ac:dyDescent="0.3">
      <c r="A776" s="1">
        <v>46251</v>
      </c>
      <c r="B776">
        <v>2026</v>
      </c>
      <c r="C776">
        <v>8</v>
      </c>
      <c r="D776" t="s">
        <v>42</v>
      </c>
      <c r="E776" t="s">
        <v>43</v>
      </c>
      <c r="F776" t="s">
        <v>30</v>
      </c>
      <c r="G776" t="s">
        <v>31</v>
      </c>
      <c r="H776">
        <v>4</v>
      </c>
      <c r="I776">
        <v>10000</v>
      </c>
    </row>
    <row r="777" spans="1:9" x14ac:dyDescent="0.3">
      <c r="A777" s="1">
        <v>46079</v>
      </c>
      <c r="B777">
        <v>2026</v>
      </c>
      <c r="C777">
        <v>2</v>
      </c>
      <c r="D777" t="s">
        <v>44</v>
      </c>
      <c r="E777" t="s">
        <v>45</v>
      </c>
      <c r="F777" t="s">
        <v>33</v>
      </c>
      <c r="G777" t="s">
        <v>31</v>
      </c>
      <c r="H777">
        <v>2</v>
      </c>
      <c r="I777">
        <v>3000</v>
      </c>
    </row>
    <row r="778" spans="1:9" x14ac:dyDescent="0.3">
      <c r="A778" s="1">
        <v>46284</v>
      </c>
      <c r="B778">
        <v>2026</v>
      </c>
      <c r="C778">
        <v>9</v>
      </c>
      <c r="D778" t="s">
        <v>40</v>
      </c>
      <c r="E778" t="s">
        <v>41</v>
      </c>
      <c r="F778" t="s">
        <v>33</v>
      </c>
      <c r="G778" t="s">
        <v>31</v>
      </c>
      <c r="H778">
        <v>4</v>
      </c>
      <c r="I778">
        <v>6000</v>
      </c>
    </row>
    <row r="779" spans="1:9" x14ac:dyDescent="0.3">
      <c r="A779" s="1">
        <v>46262</v>
      </c>
      <c r="B779">
        <v>2026</v>
      </c>
      <c r="C779">
        <v>8</v>
      </c>
      <c r="D779" t="s">
        <v>44</v>
      </c>
      <c r="E779" t="s">
        <v>45</v>
      </c>
      <c r="F779" t="s">
        <v>33</v>
      </c>
      <c r="G779" t="s">
        <v>31</v>
      </c>
      <c r="H779">
        <v>3</v>
      </c>
      <c r="I779">
        <v>4500</v>
      </c>
    </row>
    <row r="780" spans="1:9" x14ac:dyDescent="0.3">
      <c r="A780" s="1">
        <v>46127</v>
      </c>
      <c r="B780">
        <v>2026</v>
      </c>
      <c r="C780">
        <v>4</v>
      </c>
      <c r="D780" t="s">
        <v>44</v>
      </c>
      <c r="E780" t="s">
        <v>45</v>
      </c>
      <c r="F780" t="s">
        <v>33</v>
      </c>
      <c r="G780" t="s">
        <v>31</v>
      </c>
      <c r="H780">
        <v>2</v>
      </c>
      <c r="I780">
        <v>3000</v>
      </c>
    </row>
    <row r="781" spans="1:9" x14ac:dyDescent="0.3">
      <c r="A781" s="1">
        <v>46166</v>
      </c>
      <c r="B781">
        <v>2026</v>
      </c>
      <c r="C781">
        <v>5</v>
      </c>
      <c r="D781" t="s">
        <v>51</v>
      </c>
      <c r="E781" t="s">
        <v>45</v>
      </c>
      <c r="F781" t="s">
        <v>33</v>
      </c>
      <c r="G781" t="s">
        <v>31</v>
      </c>
      <c r="H781">
        <v>3</v>
      </c>
      <c r="I781">
        <v>4500</v>
      </c>
    </row>
    <row r="782" spans="1:9" x14ac:dyDescent="0.3">
      <c r="A782" s="1">
        <v>46055</v>
      </c>
      <c r="B782">
        <v>2026</v>
      </c>
      <c r="C782">
        <v>2</v>
      </c>
      <c r="D782" t="s">
        <v>46</v>
      </c>
      <c r="E782" t="s">
        <v>47</v>
      </c>
      <c r="F782" t="s">
        <v>33</v>
      </c>
      <c r="G782" t="s">
        <v>31</v>
      </c>
      <c r="H782">
        <v>2</v>
      </c>
      <c r="I782">
        <v>3000</v>
      </c>
    </row>
    <row r="783" spans="1:9" x14ac:dyDescent="0.3">
      <c r="A783" s="1">
        <v>46115</v>
      </c>
      <c r="B783">
        <v>2026</v>
      </c>
      <c r="C783">
        <v>4</v>
      </c>
      <c r="D783" t="s">
        <v>50</v>
      </c>
      <c r="E783" t="s">
        <v>41</v>
      </c>
      <c r="F783" t="s">
        <v>33</v>
      </c>
      <c r="G783" t="s">
        <v>31</v>
      </c>
      <c r="H783">
        <v>4</v>
      </c>
      <c r="I783">
        <v>6000</v>
      </c>
    </row>
    <row r="784" spans="1:9" x14ac:dyDescent="0.3">
      <c r="A784" s="1">
        <v>46083</v>
      </c>
      <c r="B784">
        <v>2026</v>
      </c>
      <c r="C784">
        <v>3</v>
      </c>
      <c r="D784" t="s">
        <v>42</v>
      </c>
      <c r="E784" t="s">
        <v>43</v>
      </c>
      <c r="F784" t="s">
        <v>33</v>
      </c>
      <c r="G784" t="s">
        <v>31</v>
      </c>
      <c r="H784">
        <v>4</v>
      </c>
      <c r="I784">
        <v>6000</v>
      </c>
    </row>
    <row r="785" spans="1:9" x14ac:dyDescent="0.3">
      <c r="A785" s="1">
        <v>46087</v>
      </c>
      <c r="B785">
        <v>2026</v>
      </c>
      <c r="C785">
        <v>3</v>
      </c>
      <c r="D785" t="s">
        <v>50</v>
      </c>
      <c r="E785" t="s">
        <v>41</v>
      </c>
      <c r="F785" t="s">
        <v>33</v>
      </c>
      <c r="G785" t="s">
        <v>31</v>
      </c>
      <c r="H785">
        <v>2</v>
      </c>
      <c r="I785">
        <v>3000</v>
      </c>
    </row>
    <row r="786" spans="1:9" x14ac:dyDescent="0.3">
      <c r="A786" s="1">
        <v>46325</v>
      </c>
      <c r="B786">
        <v>2026</v>
      </c>
      <c r="C786">
        <v>10</v>
      </c>
      <c r="D786" t="s">
        <v>44</v>
      </c>
      <c r="E786" t="s">
        <v>45</v>
      </c>
      <c r="F786" t="s">
        <v>33</v>
      </c>
      <c r="G786" t="s">
        <v>31</v>
      </c>
      <c r="H786">
        <v>3</v>
      </c>
      <c r="I786">
        <v>4500</v>
      </c>
    </row>
    <row r="787" spans="1:9" x14ac:dyDescent="0.3">
      <c r="A787" s="1">
        <v>46250</v>
      </c>
      <c r="B787">
        <v>2026</v>
      </c>
      <c r="C787">
        <v>8</v>
      </c>
      <c r="D787" t="s">
        <v>50</v>
      </c>
      <c r="E787" t="s">
        <v>41</v>
      </c>
      <c r="F787" t="s">
        <v>33</v>
      </c>
      <c r="G787" t="s">
        <v>31</v>
      </c>
      <c r="H787">
        <v>1</v>
      </c>
      <c r="I787">
        <v>1500</v>
      </c>
    </row>
    <row r="788" spans="1:9" x14ac:dyDescent="0.3">
      <c r="A788" s="1">
        <v>46217</v>
      </c>
      <c r="B788">
        <v>2026</v>
      </c>
      <c r="C788">
        <v>7</v>
      </c>
      <c r="D788" t="s">
        <v>50</v>
      </c>
      <c r="E788" t="s">
        <v>41</v>
      </c>
      <c r="F788" t="s">
        <v>33</v>
      </c>
      <c r="G788" t="s">
        <v>31</v>
      </c>
      <c r="H788">
        <v>2</v>
      </c>
      <c r="I788">
        <v>3000</v>
      </c>
    </row>
    <row r="789" spans="1:9" x14ac:dyDescent="0.3">
      <c r="A789" s="1">
        <v>46248</v>
      </c>
      <c r="B789">
        <v>2026</v>
      </c>
      <c r="C789">
        <v>8</v>
      </c>
      <c r="D789" t="s">
        <v>49</v>
      </c>
      <c r="E789" t="s">
        <v>47</v>
      </c>
      <c r="F789" t="s">
        <v>33</v>
      </c>
      <c r="G789" t="s">
        <v>31</v>
      </c>
      <c r="H789">
        <v>2</v>
      </c>
      <c r="I789">
        <v>3000</v>
      </c>
    </row>
    <row r="790" spans="1:9" x14ac:dyDescent="0.3">
      <c r="A790" s="1">
        <v>46028</v>
      </c>
      <c r="B790">
        <v>2026</v>
      </c>
      <c r="C790">
        <v>1</v>
      </c>
      <c r="D790" t="s">
        <v>49</v>
      </c>
      <c r="E790" t="s">
        <v>47</v>
      </c>
      <c r="F790" t="s">
        <v>33</v>
      </c>
      <c r="G790" t="s">
        <v>31</v>
      </c>
      <c r="H790">
        <v>4</v>
      </c>
      <c r="I790">
        <v>6000</v>
      </c>
    </row>
    <row r="791" spans="1:9" x14ac:dyDescent="0.3">
      <c r="A791" s="1">
        <v>46086</v>
      </c>
      <c r="B791">
        <v>2026</v>
      </c>
      <c r="C791">
        <v>3</v>
      </c>
      <c r="D791" t="s">
        <v>46</v>
      </c>
      <c r="E791" t="s">
        <v>47</v>
      </c>
      <c r="F791" t="s">
        <v>33</v>
      </c>
      <c r="G791" t="s">
        <v>31</v>
      </c>
      <c r="H791">
        <v>4</v>
      </c>
      <c r="I791">
        <v>6000</v>
      </c>
    </row>
    <row r="792" spans="1:9" x14ac:dyDescent="0.3">
      <c r="A792" s="1">
        <v>46320</v>
      </c>
      <c r="B792">
        <v>2026</v>
      </c>
      <c r="C792">
        <v>10</v>
      </c>
      <c r="D792" t="s">
        <v>46</v>
      </c>
      <c r="E792" t="s">
        <v>47</v>
      </c>
      <c r="F792" t="s">
        <v>33</v>
      </c>
      <c r="G792" t="s">
        <v>31</v>
      </c>
      <c r="H792">
        <v>1</v>
      </c>
      <c r="I792">
        <v>1500</v>
      </c>
    </row>
    <row r="793" spans="1:9" x14ac:dyDescent="0.3">
      <c r="A793" s="1">
        <v>46297</v>
      </c>
      <c r="B793">
        <v>2026</v>
      </c>
      <c r="C793">
        <v>10</v>
      </c>
      <c r="D793" t="s">
        <v>49</v>
      </c>
      <c r="E793" t="s">
        <v>47</v>
      </c>
      <c r="F793" t="s">
        <v>33</v>
      </c>
      <c r="G793" t="s">
        <v>31</v>
      </c>
      <c r="H793">
        <v>3</v>
      </c>
      <c r="I793">
        <v>4500</v>
      </c>
    </row>
    <row r="794" spans="1:9" x14ac:dyDescent="0.3">
      <c r="A794" s="1">
        <v>46072</v>
      </c>
      <c r="B794">
        <v>2026</v>
      </c>
      <c r="C794">
        <v>2</v>
      </c>
      <c r="D794" t="s">
        <v>48</v>
      </c>
      <c r="E794" t="s">
        <v>43</v>
      </c>
      <c r="F794" t="s">
        <v>33</v>
      </c>
      <c r="G794" t="s">
        <v>31</v>
      </c>
      <c r="H794">
        <v>5</v>
      </c>
      <c r="I794">
        <v>7500</v>
      </c>
    </row>
    <row r="795" spans="1:9" x14ac:dyDescent="0.3">
      <c r="A795" s="1">
        <v>46255</v>
      </c>
      <c r="B795">
        <v>2026</v>
      </c>
      <c r="C795">
        <v>8</v>
      </c>
      <c r="D795" t="s">
        <v>49</v>
      </c>
      <c r="E795" t="s">
        <v>47</v>
      </c>
      <c r="F795" t="s">
        <v>33</v>
      </c>
      <c r="G795" t="s">
        <v>31</v>
      </c>
      <c r="H795">
        <v>4</v>
      </c>
      <c r="I795">
        <v>6000</v>
      </c>
    </row>
    <row r="796" spans="1:9" x14ac:dyDescent="0.3">
      <c r="A796" s="1">
        <v>46307</v>
      </c>
      <c r="B796">
        <v>2026</v>
      </c>
      <c r="C796">
        <v>10</v>
      </c>
      <c r="D796" t="s">
        <v>49</v>
      </c>
      <c r="E796" t="s">
        <v>47</v>
      </c>
      <c r="F796" t="s">
        <v>33</v>
      </c>
      <c r="G796" t="s">
        <v>31</v>
      </c>
      <c r="H796">
        <v>2</v>
      </c>
      <c r="I796">
        <v>3000</v>
      </c>
    </row>
    <row r="797" spans="1:9" x14ac:dyDescent="0.3">
      <c r="A797" s="1">
        <v>46067</v>
      </c>
      <c r="B797">
        <v>2026</v>
      </c>
      <c r="C797">
        <v>2</v>
      </c>
      <c r="D797" t="s">
        <v>49</v>
      </c>
      <c r="E797" t="s">
        <v>47</v>
      </c>
      <c r="F797" t="s">
        <v>33</v>
      </c>
      <c r="G797" t="s">
        <v>31</v>
      </c>
      <c r="H797">
        <v>5</v>
      </c>
      <c r="I797">
        <v>7500</v>
      </c>
    </row>
    <row r="798" spans="1:9" x14ac:dyDescent="0.3">
      <c r="A798" s="1">
        <v>46135</v>
      </c>
      <c r="B798">
        <v>2026</v>
      </c>
      <c r="C798">
        <v>4</v>
      </c>
      <c r="D798" t="s">
        <v>48</v>
      </c>
      <c r="E798" t="s">
        <v>43</v>
      </c>
      <c r="F798" t="s">
        <v>33</v>
      </c>
      <c r="G798" t="s">
        <v>31</v>
      </c>
      <c r="H798">
        <v>1</v>
      </c>
      <c r="I798">
        <v>1500</v>
      </c>
    </row>
    <row r="799" spans="1:9" x14ac:dyDescent="0.3">
      <c r="A799" s="1">
        <v>46286</v>
      </c>
      <c r="B799">
        <v>2026</v>
      </c>
      <c r="C799">
        <v>9</v>
      </c>
      <c r="D799" t="s">
        <v>44</v>
      </c>
      <c r="E799" t="s">
        <v>45</v>
      </c>
      <c r="F799" t="s">
        <v>33</v>
      </c>
      <c r="G799" t="s">
        <v>31</v>
      </c>
      <c r="H799">
        <v>3</v>
      </c>
      <c r="I799">
        <v>4500</v>
      </c>
    </row>
    <row r="800" spans="1:9" x14ac:dyDescent="0.3">
      <c r="A800" s="1">
        <v>46293</v>
      </c>
      <c r="B800">
        <v>2026</v>
      </c>
      <c r="C800">
        <v>9</v>
      </c>
      <c r="D800" t="s">
        <v>48</v>
      </c>
      <c r="E800" t="s">
        <v>43</v>
      </c>
      <c r="F800" t="s">
        <v>33</v>
      </c>
      <c r="G800" t="s">
        <v>31</v>
      </c>
      <c r="H800">
        <v>5</v>
      </c>
      <c r="I800">
        <v>7500</v>
      </c>
    </row>
    <row r="801" spans="1:9" x14ac:dyDescent="0.3">
      <c r="A801" s="1">
        <v>46143</v>
      </c>
      <c r="B801">
        <v>2026</v>
      </c>
      <c r="C801">
        <v>5</v>
      </c>
      <c r="D801" t="s">
        <v>42</v>
      </c>
      <c r="E801" t="s">
        <v>43</v>
      </c>
      <c r="F801" t="s">
        <v>33</v>
      </c>
      <c r="G801" t="s">
        <v>31</v>
      </c>
      <c r="H801">
        <v>4</v>
      </c>
      <c r="I801">
        <v>6000</v>
      </c>
    </row>
    <row r="802" spans="1:9" x14ac:dyDescent="0.3">
      <c r="A802" s="1">
        <v>46049</v>
      </c>
      <c r="B802">
        <v>2026</v>
      </c>
      <c r="C802">
        <v>1</v>
      </c>
      <c r="D802" t="s">
        <v>49</v>
      </c>
      <c r="E802" t="s">
        <v>47</v>
      </c>
      <c r="F802" t="s">
        <v>33</v>
      </c>
      <c r="G802" t="s">
        <v>31</v>
      </c>
      <c r="H802">
        <v>3</v>
      </c>
      <c r="I802">
        <v>4500</v>
      </c>
    </row>
    <row r="803" spans="1:9" x14ac:dyDescent="0.3">
      <c r="A803" s="1">
        <v>46024</v>
      </c>
      <c r="B803">
        <v>2026</v>
      </c>
      <c r="C803">
        <v>1</v>
      </c>
      <c r="D803" t="s">
        <v>48</v>
      </c>
      <c r="E803" t="s">
        <v>43</v>
      </c>
      <c r="F803" t="s">
        <v>33</v>
      </c>
      <c r="G803" t="s">
        <v>31</v>
      </c>
      <c r="H803">
        <v>4</v>
      </c>
      <c r="I803">
        <v>6000</v>
      </c>
    </row>
    <row r="804" spans="1:9" x14ac:dyDescent="0.3">
      <c r="A804" s="1">
        <v>46238</v>
      </c>
      <c r="B804">
        <v>2026</v>
      </c>
      <c r="C804">
        <v>8</v>
      </c>
      <c r="D804" t="s">
        <v>50</v>
      </c>
      <c r="E804" t="s">
        <v>41</v>
      </c>
      <c r="F804" t="s">
        <v>33</v>
      </c>
      <c r="G804" t="s">
        <v>31</v>
      </c>
      <c r="H804">
        <v>1</v>
      </c>
      <c r="I804">
        <v>1500</v>
      </c>
    </row>
    <row r="805" spans="1:9" x14ac:dyDescent="0.3">
      <c r="A805" s="1">
        <v>46116</v>
      </c>
      <c r="B805">
        <v>2026</v>
      </c>
      <c r="C805">
        <v>4</v>
      </c>
      <c r="D805" t="s">
        <v>40</v>
      </c>
      <c r="E805" t="s">
        <v>41</v>
      </c>
      <c r="F805" t="s">
        <v>33</v>
      </c>
      <c r="G805" t="s">
        <v>31</v>
      </c>
      <c r="H805">
        <v>1</v>
      </c>
      <c r="I805">
        <v>1500</v>
      </c>
    </row>
    <row r="806" spans="1:9" x14ac:dyDescent="0.3">
      <c r="A806" s="1">
        <v>46089</v>
      </c>
      <c r="B806">
        <v>2026</v>
      </c>
      <c r="C806">
        <v>3</v>
      </c>
      <c r="D806" t="s">
        <v>46</v>
      </c>
      <c r="E806" t="s">
        <v>47</v>
      </c>
      <c r="F806" t="s">
        <v>33</v>
      </c>
      <c r="G806" t="s">
        <v>31</v>
      </c>
      <c r="H806">
        <v>2</v>
      </c>
      <c r="I806">
        <v>3000</v>
      </c>
    </row>
    <row r="807" spans="1:9" x14ac:dyDescent="0.3">
      <c r="A807" s="1">
        <v>46227</v>
      </c>
      <c r="B807">
        <v>2026</v>
      </c>
      <c r="C807">
        <v>7</v>
      </c>
      <c r="D807" t="s">
        <v>42</v>
      </c>
      <c r="E807" t="s">
        <v>43</v>
      </c>
      <c r="F807" t="s">
        <v>33</v>
      </c>
      <c r="G807" t="s">
        <v>31</v>
      </c>
      <c r="H807">
        <v>5</v>
      </c>
      <c r="I807">
        <v>7500</v>
      </c>
    </row>
    <row r="808" spans="1:9" x14ac:dyDescent="0.3">
      <c r="A808" s="1">
        <v>46058</v>
      </c>
      <c r="B808">
        <v>2026</v>
      </c>
      <c r="C808">
        <v>2</v>
      </c>
      <c r="D808" t="s">
        <v>48</v>
      </c>
      <c r="E808" t="s">
        <v>43</v>
      </c>
      <c r="F808" t="s">
        <v>33</v>
      </c>
      <c r="G808" t="s">
        <v>31</v>
      </c>
      <c r="H808">
        <v>5</v>
      </c>
      <c r="I808">
        <v>7500</v>
      </c>
    </row>
    <row r="809" spans="1:9" x14ac:dyDescent="0.3">
      <c r="A809" s="1">
        <v>46232</v>
      </c>
      <c r="B809">
        <v>2026</v>
      </c>
      <c r="C809">
        <v>7</v>
      </c>
      <c r="D809" t="s">
        <v>40</v>
      </c>
      <c r="E809" t="s">
        <v>41</v>
      </c>
      <c r="F809" t="s">
        <v>33</v>
      </c>
      <c r="G809" t="s">
        <v>31</v>
      </c>
      <c r="H809">
        <v>4</v>
      </c>
      <c r="I809">
        <v>6000</v>
      </c>
    </row>
    <row r="810" spans="1:9" x14ac:dyDescent="0.3">
      <c r="A810" s="1">
        <v>46134</v>
      </c>
      <c r="B810">
        <v>2026</v>
      </c>
      <c r="C810">
        <v>4</v>
      </c>
      <c r="D810" t="s">
        <v>49</v>
      </c>
      <c r="E810" t="s">
        <v>47</v>
      </c>
      <c r="F810" t="s">
        <v>33</v>
      </c>
      <c r="G810" t="s">
        <v>31</v>
      </c>
      <c r="H810">
        <v>2</v>
      </c>
      <c r="I810">
        <v>3000</v>
      </c>
    </row>
    <row r="811" spans="1:9" x14ac:dyDescent="0.3">
      <c r="A811" s="1">
        <v>46284</v>
      </c>
      <c r="B811">
        <v>2026</v>
      </c>
      <c r="C811">
        <v>9</v>
      </c>
      <c r="D811" t="s">
        <v>49</v>
      </c>
      <c r="E811" t="s">
        <v>47</v>
      </c>
      <c r="F811" t="s">
        <v>33</v>
      </c>
      <c r="G811" t="s">
        <v>31</v>
      </c>
      <c r="H811">
        <v>1</v>
      </c>
      <c r="I811">
        <v>1500</v>
      </c>
    </row>
    <row r="812" spans="1:9" x14ac:dyDescent="0.3">
      <c r="A812" s="1">
        <v>46257</v>
      </c>
      <c r="B812">
        <v>2026</v>
      </c>
      <c r="C812">
        <v>8</v>
      </c>
      <c r="D812" t="s">
        <v>50</v>
      </c>
      <c r="E812" t="s">
        <v>41</v>
      </c>
      <c r="F812" t="s">
        <v>33</v>
      </c>
      <c r="G812" t="s">
        <v>31</v>
      </c>
      <c r="H812">
        <v>4</v>
      </c>
      <c r="I812">
        <v>6000</v>
      </c>
    </row>
    <row r="813" spans="1:9" x14ac:dyDescent="0.3">
      <c r="A813" s="1">
        <v>46312</v>
      </c>
      <c r="B813">
        <v>2026</v>
      </c>
      <c r="C813">
        <v>10</v>
      </c>
      <c r="D813" t="s">
        <v>46</v>
      </c>
      <c r="E813" t="s">
        <v>47</v>
      </c>
      <c r="F813" t="s">
        <v>33</v>
      </c>
      <c r="G813" t="s">
        <v>31</v>
      </c>
      <c r="H813">
        <v>3</v>
      </c>
      <c r="I813">
        <v>4500</v>
      </c>
    </row>
    <row r="814" spans="1:9" x14ac:dyDescent="0.3">
      <c r="A814" s="1">
        <v>46094</v>
      </c>
      <c r="B814">
        <v>2026</v>
      </c>
      <c r="C814">
        <v>3</v>
      </c>
      <c r="D814" t="s">
        <v>40</v>
      </c>
      <c r="E814" t="s">
        <v>41</v>
      </c>
      <c r="F814" t="s">
        <v>33</v>
      </c>
      <c r="G814" t="s">
        <v>31</v>
      </c>
      <c r="H814">
        <v>5</v>
      </c>
      <c r="I814">
        <v>7500</v>
      </c>
    </row>
    <row r="815" spans="1:9" x14ac:dyDescent="0.3">
      <c r="A815" s="1">
        <v>46325</v>
      </c>
      <c r="B815">
        <v>2026</v>
      </c>
      <c r="C815">
        <v>10</v>
      </c>
      <c r="D815" t="s">
        <v>42</v>
      </c>
      <c r="E815" t="s">
        <v>43</v>
      </c>
      <c r="F815" t="s">
        <v>33</v>
      </c>
      <c r="G815" t="s">
        <v>31</v>
      </c>
      <c r="H815">
        <v>2</v>
      </c>
      <c r="I815">
        <v>3000</v>
      </c>
    </row>
    <row r="816" spans="1:9" x14ac:dyDescent="0.3">
      <c r="A816" s="1">
        <v>46225</v>
      </c>
      <c r="B816">
        <v>2026</v>
      </c>
      <c r="C816">
        <v>7</v>
      </c>
      <c r="D816" t="s">
        <v>51</v>
      </c>
      <c r="E816" t="s">
        <v>45</v>
      </c>
      <c r="F816" t="s">
        <v>33</v>
      </c>
      <c r="G816" t="s">
        <v>31</v>
      </c>
      <c r="H816">
        <v>4</v>
      </c>
      <c r="I816">
        <v>6000</v>
      </c>
    </row>
    <row r="817" spans="1:9" x14ac:dyDescent="0.3">
      <c r="A817" s="1">
        <v>46325</v>
      </c>
      <c r="B817">
        <v>2026</v>
      </c>
      <c r="C817">
        <v>10</v>
      </c>
      <c r="D817" t="s">
        <v>46</v>
      </c>
      <c r="E817" t="s">
        <v>47</v>
      </c>
      <c r="F817" t="s">
        <v>33</v>
      </c>
      <c r="G817" t="s">
        <v>31</v>
      </c>
      <c r="H817">
        <v>2</v>
      </c>
      <c r="I817">
        <v>3000</v>
      </c>
    </row>
    <row r="818" spans="1:9" x14ac:dyDescent="0.3">
      <c r="A818" s="1">
        <v>46056</v>
      </c>
      <c r="B818">
        <v>2026</v>
      </c>
      <c r="C818">
        <v>2</v>
      </c>
      <c r="D818" t="s">
        <v>51</v>
      </c>
      <c r="E818" t="s">
        <v>45</v>
      </c>
      <c r="F818" t="s">
        <v>33</v>
      </c>
      <c r="G818" t="s">
        <v>31</v>
      </c>
      <c r="H818">
        <v>4</v>
      </c>
      <c r="I818">
        <v>6000</v>
      </c>
    </row>
    <row r="819" spans="1:9" x14ac:dyDescent="0.3">
      <c r="A819" s="1">
        <v>46295</v>
      </c>
      <c r="B819">
        <v>2026</v>
      </c>
      <c r="C819">
        <v>9</v>
      </c>
      <c r="D819" t="s">
        <v>50</v>
      </c>
      <c r="E819" t="s">
        <v>41</v>
      </c>
      <c r="F819" t="s">
        <v>33</v>
      </c>
      <c r="G819" t="s">
        <v>31</v>
      </c>
      <c r="H819">
        <v>1</v>
      </c>
      <c r="I819">
        <v>1500</v>
      </c>
    </row>
    <row r="820" spans="1:9" x14ac:dyDescent="0.3">
      <c r="A820" s="1">
        <v>46144</v>
      </c>
      <c r="B820">
        <v>2026</v>
      </c>
      <c r="C820">
        <v>5</v>
      </c>
      <c r="D820" t="s">
        <v>44</v>
      </c>
      <c r="E820" t="s">
        <v>45</v>
      </c>
      <c r="F820" t="s">
        <v>33</v>
      </c>
      <c r="G820" t="s">
        <v>31</v>
      </c>
      <c r="H820">
        <v>1</v>
      </c>
      <c r="I820">
        <v>1500</v>
      </c>
    </row>
    <row r="821" spans="1:9" x14ac:dyDescent="0.3">
      <c r="A821" s="1">
        <v>46111</v>
      </c>
      <c r="B821">
        <v>2026</v>
      </c>
      <c r="C821">
        <v>3</v>
      </c>
      <c r="D821" t="s">
        <v>42</v>
      </c>
      <c r="E821" t="s">
        <v>43</v>
      </c>
      <c r="F821" t="s">
        <v>33</v>
      </c>
      <c r="G821" t="s">
        <v>31</v>
      </c>
      <c r="H821">
        <v>2</v>
      </c>
      <c r="I821">
        <v>3000</v>
      </c>
    </row>
    <row r="822" spans="1:9" x14ac:dyDescent="0.3">
      <c r="A822" s="1">
        <v>46026</v>
      </c>
      <c r="B822">
        <v>2026</v>
      </c>
      <c r="C822">
        <v>1</v>
      </c>
      <c r="D822" t="s">
        <v>50</v>
      </c>
      <c r="E822" t="s">
        <v>41</v>
      </c>
      <c r="F822" t="s">
        <v>33</v>
      </c>
      <c r="G822" t="s">
        <v>31</v>
      </c>
      <c r="H822">
        <v>2</v>
      </c>
      <c r="I822">
        <v>3000</v>
      </c>
    </row>
    <row r="823" spans="1:9" x14ac:dyDescent="0.3">
      <c r="A823" s="1">
        <v>46040</v>
      </c>
      <c r="B823">
        <v>2026</v>
      </c>
      <c r="C823">
        <v>1</v>
      </c>
      <c r="D823" t="s">
        <v>50</v>
      </c>
      <c r="E823" t="s">
        <v>41</v>
      </c>
      <c r="F823" t="s">
        <v>33</v>
      </c>
      <c r="G823" t="s">
        <v>31</v>
      </c>
      <c r="H823">
        <v>3</v>
      </c>
      <c r="I823">
        <v>4500</v>
      </c>
    </row>
    <row r="824" spans="1:9" x14ac:dyDescent="0.3">
      <c r="A824" s="1">
        <v>46202</v>
      </c>
      <c r="B824">
        <v>2026</v>
      </c>
      <c r="C824">
        <v>6</v>
      </c>
      <c r="D824" t="s">
        <v>42</v>
      </c>
      <c r="E824" t="s">
        <v>43</v>
      </c>
      <c r="F824" t="s">
        <v>33</v>
      </c>
      <c r="G824" t="s">
        <v>31</v>
      </c>
      <c r="H824">
        <v>5</v>
      </c>
      <c r="I824">
        <v>7500</v>
      </c>
    </row>
    <row r="825" spans="1:9" x14ac:dyDescent="0.3">
      <c r="A825" s="1">
        <v>46035</v>
      </c>
      <c r="B825">
        <v>2026</v>
      </c>
      <c r="C825">
        <v>1</v>
      </c>
      <c r="D825" t="s">
        <v>40</v>
      </c>
      <c r="E825" t="s">
        <v>41</v>
      </c>
      <c r="F825" t="s">
        <v>33</v>
      </c>
      <c r="G825" t="s">
        <v>31</v>
      </c>
      <c r="H825">
        <v>2</v>
      </c>
      <c r="I825">
        <v>3000</v>
      </c>
    </row>
    <row r="826" spans="1:9" x14ac:dyDescent="0.3">
      <c r="A826" s="1">
        <v>46063</v>
      </c>
      <c r="B826">
        <v>2026</v>
      </c>
      <c r="C826">
        <v>2</v>
      </c>
      <c r="D826" t="s">
        <v>50</v>
      </c>
      <c r="E826" t="s">
        <v>41</v>
      </c>
      <c r="F826" t="s">
        <v>33</v>
      </c>
      <c r="G826" t="s">
        <v>31</v>
      </c>
      <c r="H826">
        <v>2</v>
      </c>
      <c r="I826">
        <v>3000</v>
      </c>
    </row>
    <row r="827" spans="1:9" x14ac:dyDescent="0.3">
      <c r="A827" s="1">
        <v>46240</v>
      </c>
      <c r="B827">
        <v>2026</v>
      </c>
      <c r="C827">
        <v>8</v>
      </c>
      <c r="D827" t="s">
        <v>44</v>
      </c>
      <c r="E827" t="s">
        <v>45</v>
      </c>
      <c r="F827" t="s">
        <v>33</v>
      </c>
      <c r="G827" t="s">
        <v>31</v>
      </c>
      <c r="H827">
        <v>5</v>
      </c>
      <c r="I827">
        <v>7500</v>
      </c>
    </row>
    <row r="828" spans="1:9" x14ac:dyDescent="0.3">
      <c r="A828" s="1">
        <v>46151</v>
      </c>
      <c r="B828">
        <v>2026</v>
      </c>
      <c r="C828">
        <v>5</v>
      </c>
      <c r="D828" t="s">
        <v>48</v>
      </c>
      <c r="E828" t="s">
        <v>43</v>
      </c>
      <c r="F828" t="s">
        <v>33</v>
      </c>
      <c r="G828" t="s">
        <v>31</v>
      </c>
      <c r="H828">
        <v>5</v>
      </c>
      <c r="I828">
        <v>7500</v>
      </c>
    </row>
    <row r="829" spans="1:9" x14ac:dyDescent="0.3">
      <c r="A829" s="1">
        <v>46318</v>
      </c>
      <c r="B829">
        <v>2026</v>
      </c>
      <c r="C829">
        <v>10</v>
      </c>
      <c r="D829" t="s">
        <v>49</v>
      </c>
      <c r="E829" t="s">
        <v>47</v>
      </c>
      <c r="F829" t="s">
        <v>33</v>
      </c>
      <c r="G829" t="s">
        <v>31</v>
      </c>
      <c r="H829">
        <v>2</v>
      </c>
      <c r="I829">
        <v>3000</v>
      </c>
    </row>
    <row r="830" spans="1:9" x14ac:dyDescent="0.3">
      <c r="A830" s="1">
        <v>46078</v>
      </c>
      <c r="B830">
        <v>2026</v>
      </c>
      <c r="C830">
        <v>2</v>
      </c>
      <c r="D830" t="s">
        <v>48</v>
      </c>
      <c r="E830" t="s">
        <v>43</v>
      </c>
      <c r="F830" t="s">
        <v>33</v>
      </c>
      <c r="G830" t="s">
        <v>31</v>
      </c>
      <c r="H830">
        <v>4</v>
      </c>
      <c r="I830">
        <v>6000</v>
      </c>
    </row>
    <row r="831" spans="1:9" x14ac:dyDescent="0.3">
      <c r="A831" s="1">
        <v>46294</v>
      </c>
      <c r="B831">
        <v>2026</v>
      </c>
      <c r="C831">
        <v>9</v>
      </c>
      <c r="D831" t="s">
        <v>40</v>
      </c>
      <c r="E831" t="s">
        <v>41</v>
      </c>
      <c r="F831" t="s">
        <v>33</v>
      </c>
      <c r="G831" t="s">
        <v>31</v>
      </c>
      <c r="H831">
        <v>3</v>
      </c>
      <c r="I831">
        <v>4500</v>
      </c>
    </row>
    <row r="832" spans="1:9" x14ac:dyDescent="0.3">
      <c r="A832" s="1">
        <v>46161</v>
      </c>
      <c r="B832">
        <v>2026</v>
      </c>
      <c r="C832">
        <v>5</v>
      </c>
      <c r="D832" t="s">
        <v>51</v>
      </c>
      <c r="E832" t="s">
        <v>45</v>
      </c>
      <c r="F832" t="s">
        <v>33</v>
      </c>
      <c r="G832" t="s">
        <v>31</v>
      </c>
      <c r="H832">
        <v>3</v>
      </c>
      <c r="I832">
        <v>4500</v>
      </c>
    </row>
    <row r="833" spans="1:9" x14ac:dyDescent="0.3">
      <c r="A833" s="1">
        <v>46024</v>
      </c>
      <c r="B833">
        <v>2026</v>
      </c>
      <c r="C833">
        <v>1</v>
      </c>
      <c r="D833" t="s">
        <v>46</v>
      </c>
      <c r="E833" t="s">
        <v>47</v>
      </c>
      <c r="F833" t="s">
        <v>33</v>
      </c>
      <c r="G833" t="s">
        <v>31</v>
      </c>
      <c r="H833">
        <v>2</v>
      </c>
      <c r="I833">
        <v>3000</v>
      </c>
    </row>
    <row r="834" spans="1:9" x14ac:dyDescent="0.3">
      <c r="A834" s="1">
        <v>46235</v>
      </c>
      <c r="B834">
        <v>2026</v>
      </c>
      <c r="C834">
        <v>8</v>
      </c>
      <c r="D834" t="s">
        <v>51</v>
      </c>
      <c r="E834" t="s">
        <v>45</v>
      </c>
      <c r="F834" t="s">
        <v>33</v>
      </c>
      <c r="G834" t="s">
        <v>31</v>
      </c>
      <c r="H834">
        <v>5</v>
      </c>
      <c r="I834">
        <v>7500</v>
      </c>
    </row>
    <row r="835" spans="1:9" x14ac:dyDescent="0.3">
      <c r="A835" s="1">
        <v>46175</v>
      </c>
      <c r="B835">
        <v>2026</v>
      </c>
      <c r="C835">
        <v>6</v>
      </c>
      <c r="D835" t="s">
        <v>46</v>
      </c>
      <c r="E835" t="s">
        <v>47</v>
      </c>
      <c r="F835" t="s">
        <v>33</v>
      </c>
      <c r="G835" t="s">
        <v>31</v>
      </c>
      <c r="H835">
        <v>4</v>
      </c>
      <c r="I835">
        <v>6000</v>
      </c>
    </row>
    <row r="836" spans="1:9" x14ac:dyDescent="0.3">
      <c r="A836" s="1">
        <v>46308</v>
      </c>
      <c r="B836">
        <v>2026</v>
      </c>
      <c r="C836">
        <v>10</v>
      </c>
      <c r="D836" t="s">
        <v>50</v>
      </c>
      <c r="E836" t="s">
        <v>41</v>
      </c>
      <c r="F836" t="s">
        <v>33</v>
      </c>
      <c r="G836" t="s">
        <v>31</v>
      </c>
      <c r="H836">
        <v>5</v>
      </c>
      <c r="I836">
        <v>7500</v>
      </c>
    </row>
    <row r="837" spans="1:9" x14ac:dyDescent="0.3">
      <c r="A837" s="1">
        <v>46215</v>
      </c>
      <c r="B837">
        <v>2026</v>
      </c>
      <c r="C837">
        <v>7</v>
      </c>
      <c r="D837" t="s">
        <v>48</v>
      </c>
      <c r="E837" t="s">
        <v>43</v>
      </c>
      <c r="F837" t="s">
        <v>33</v>
      </c>
      <c r="G837" t="s">
        <v>31</v>
      </c>
      <c r="H837">
        <v>4</v>
      </c>
      <c r="I837">
        <v>6000</v>
      </c>
    </row>
    <row r="838" spans="1:9" x14ac:dyDescent="0.3">
      <c r="A838" s="1">
        <v>46240</v>
      </c>
      <c r="B838">
        <v>2026</v>
      </c>
      <c r="C838">
        <v>8</v>
      </c>
      <c r="D838" t="s">
        <v>50</v>
      </c>
      <c r="E838" t="s">
        <v>41</v>
      </c>
      <c r="F838" t="s">
        <v>33</v>
      </c>
      <c r="G838" t="s">
        <v>31</v>
      </c>
      <c r="H838">
        <v>2</v>
      </c>
      <c r="I838">
        <v>3000</v>
      </c>
    </row>
    <row r="839" spans="1:9" x14ac:dyDescent="0.3">
      <c r="A839" s="1">
        <v>46122</v>
      </c>
      <c r="B839">
        <v>2026</v>
      </c>
      <c r="C839">
        <v>4</v>
      </c>
      <c r="D839" t="s">
        <v>40</v>
      </c>
      <c r="E839" t="s">
        <v>41</v>
      </c>
      <c r="F839" t="s">
        <v>33</v>
      </c>
      <c r="G839" t="s">
        <v>31</v>
      </c>
      <c r="H839">
        <v>1</v>
      </c>
      <c r="I839">
        <v>1500</v>
      </c>
    </row>
    <row r="840" spans="1:9" x14ac:dyDescent="0.3">
      <c r="A840" s="1">
        <v>46097</v>
      </c>
      <c r="B840">
        <v>2026</v>
      </c>
      <c r="C840">
        <v>3</v>
      </c>
      <c r="D840" t="s">
        <v>42</v>
      </c>
      <c r="E840" t="s">
        <v>43</v>
      </c>
      <c r="F840" t="s">
        <v>33</v>
      </c>
      <c r="G840" t="s">
        <v>31</v>
      </c>
      <c r="H840">
        <v>4</v>
      </c>
      <c r="I840">
        <v>6000</v>
      </c>
    </row>
    <row r="841" spans="1:9" x14ac:dyDescent="0.3">
      <c r="A841" s="1">
        <v>46063</v>
      </c>
      <c r="B841">
        <v>2026</v>
      </c>
      <c r="C841">
        <v>2</v>
      </c>
      <c r="D841" t="s">
        <v>48</v>
      </c>
      <c r="E841" t="s">
        <v>43</v>
      </c>
      <c r="F841" t="s">
        <v>33</v>
      </c>
      <c r="G841" t="s">
        <v>31</v>
      </c>
      <c r="H841">
        <v>5</v>
      </c>
      <c r="I841">
        <v>7500</v>
      </c>
    </row>
    <row r="842" spans="1:9" x14ac:dyDescent="0.3">
      <c r="A842" s="1">
        <v>46078</v>
      </c>
      <c r="B842">
        <v>2026</v>
      </c>
      <c r="C842">
        <v>2</v>
      </c>
      <c r="D842" t="s">
        <v>46</v>
      </c>
      <c r="E842" t="s">
        <v>47</v>
      </c>
      <c r="F842" t="s">
        <v>33</v>
      </c>
      <c r="G842" t="s">
        <v>31</v>
      </c>
      <c r="H842">
        <v>4</v>
      </c>
      <c r="I842">
        <v>6000</v>
      </c>
    </row>
    <row r="843" spans="1:9" x14ac:dyDescent="0.3">
      <c r="A843" s="1">
        <v>46252</v>
      </c>
      <c r="B843">
        <v>2026</v>
      </c>
      <c r="C843">
        <v>8</v>
      </c>
      <c r="D843" t="s">
        <v>40</v>
      </c>
      <c r="E843" t="s">
        <v>41</v>
      </c>
      <c r="F843" t="s">
        <v>33</v>
      </c>
      <c r="G843" t="s">
        <v>31</v>
      </c>
      <c r="H843">
        <v>4</v>
      </c>
      <c r="I843">
        <v>6000</v>
      </c>
    </row>
    <row r="844" spans="1:9" x14ac:dyDescent="0.3">
      <c r="A844" s="1">
        <v>46189</v>
      </c>
      <c r="B844">
        <v>2026</v>
      </c>
      <c r="C844">
        <v>6</v>
      </c>
      <c r="D844" t="s">
        <v>42</v>
      </c>
      <c r="E844" t="s">
        <v>43</v>
      </c>
      <c r="F844" t="s">
        <v>33</v>
      </c>
      <c r="G844" t="s">
        <v>31</v>
      </c>
      <c r="H844">
        <v>4</v>
      </c>
      <c r="I844">
        <v>6000</v>
      </c>
    </row>
    <row r="845" spans="1:9" x14ac:dyDescent="0.3">
      <c r="A845" s="1">
        <v>46173</v>
      </c>
      <c r="B845">
        <v>2026</v>
      </c>
      <c r="C845">
        <v>5</v>
      </c>
      <c r="D845" t="s">
        <v>42</v>
      </c>
      <c r="E845" t="s">
        <v>43</v>
      </c>
      <c r="F845" t="s">
        <v>33</v>
      </c>
      <c r="G845" t="s">
        <v>31</v>
      </c>
      <c r="H845">
        <v>3</v>
      </c>
      <c r="I845">
        <v>4500</v>
      </c>
    </row>
    <row r="846" spans="1:9" x14ac:dyDescent="0.3">
      <c r="A846" s="1">
        <v>46090</v>
      </c>
      <c r="B846">
        <v>2026</v>
      </c>
      <c r="C846">
        <v>3</v>
      </c>
      <c r="D846" t="s">
        <v>51</v>
      </c>
      <c r="E846" t="s">
        <v>45</v>
      </c>
      <c r="F846" t="s">
        <v>33</v>
      </c>
      <c r="G846" t="s">
        <v>31</v>
      </c>
      <c r="H846">
        <v>3</v>
      </c>
      <c r="I846">
        <v>4500</v>
      </c>
    </row>
    <row r="847" spans="1:9" x14ac:dyDescent="0.3">
      <c r="A847" s="1">
        <v>46133</v>
      </c>
      <c r="B847">
        <v>2026</v>
      </c>
      <c r="C847">
        <v>4</v>
      </c>
      <c r="D847" t="s">
        <v>44</v>
      </c>
      <c r="E847" t="s">
        <v>45</v>
      </c>
      <c r="F847" t="s">
        <v>33</v>
      </c>
      <c r="G847" t="s">
        <v>31</v>
      </c>
      <c r="H847">
        <v>4</v>
      </c>
      <c r="I847">
        <v>6000</v>
      </c>
    </row>
    <row r="848" spans="1:9" x14ac:dyDescent="0.3">
      <c r="A848" s="1">
        <v>46166</v>
      </c>
      <c r="B848">
        <v>2026</v>
      </c>
      <c r="C848">
        <v>5</v>
      </c>
      <c r="D848" t="s">
        <v>50</v>
      </c>
      <c r="E848" t="s">
        <v>41</v>
      </c>
      <c r="F848" t="s">
        <v>33</v>
      </c>
      <c r="G848" t="s">
        <v>31</v>
      </c>
      <c r="H848">
        <v>4</v>
      </c>
      <c r="I848">
        <v>6000</v>
      </c>
    </row>
    <row r="849" spans="1:9" x14ac:dyDescent="0.3">
      <c r="A849" s="1">
        <v>46179</v>
      </c>
      <c r="B849">
        <v>2026</v>
      </c>
      <c r="C849">
        <v>6</v>
      </c>
      <c r="D849" t="s">
        <v>49</v>
      </c>
      <c r="E849" t="s">
        <v>47</v>
      </c>
      <c r="F849" t="s">
        <v>33</v>
      </c>
      <c r="G849" t="s">
        <v>31</v>
      </c>
      <c r="H849">
        <v>2</v>
      </c>
      <c r="I849">
        <v>3000</v>
      </c>
    </row>
    <row r="850" spans="1:9" x14ac:dyDescent="0.3">
      <c r="A850" s="1">
        <v>46148</v>
      </c>
      <c r="B850">
        <v>2026</v>
      </c>
      <c r="C850">
        <v>5</v>
      </c>
      <c r="D850" t="s">
        <v>49</v>
      </c>
      <c r="E850" t="s">
        <v>47</v>
      </c>
      <c r="F850" t="s">
        <v>33</v>
      </c>
      <c r="G850" t="s">
        <v>31</v>
      </c>
      <c r="H850">
        <v>3</v>
      </c>
      <c r="I850">
        <v>4500</v>
      </c>
    </row>
    <row r="851" spans="1:9" x14ac:dyDescent="0.3">
      <c r="A851" s="1">
        <v>46225</v>
      </c>
      <c r="B851">
        <v>2026</v>
      </c>
      <c r="C851">
        <v>7</v>
      </c>
      <c r="D851" t="s">
        <v>40</v>
      </c>
      <c r="E851" t="s">
        <v>41</v>
      </c>
      <c r="F851" t="s">
        <v>33</v>
      </c>
      <c r="G851" t="s">
        <v>31</v>
      </c>
      <c r="H851">
        <v>4</v>
      </c>
      <c r="I851">
        <v>6000</v>
      </c>
    </row>
    <row r="852" spans="1:9" x14ac:dyDescent="0.3">
      <c r="A852" s="1">
        <v>46106</v>
      </c>
      <c r="B852">
        <v>2026</v>
      </c>
      <c r="C852">
        <v>3</v>
      </c>
      <c r="D852" t="s">
        <v>42</v>
      </c>
      <c r="E852" t="s">
        <v>43</v>
      </c>
      <c r="F852" t="s">
        <v>33</v>
      </c>
      <c r="G852" t="s">
        <v>31</v>
      </c>
      <c r="H852">
        <v>5</v>
      </c>
      <c r="I852">
        <v>7500</v>
      </c>
    </row>
    <row r="853" spans="1:9" x14ac:dyDescent="0.3">
      <c r="A853" s="1">
        <v>46168</v>
      </c>
      <c r="B853">
        <v>2026</v>
      </c>
      <c r="C853">
        <v>5</v>
      </c>
      <c r="D853" t="s">
        <v>44</v>
      </c>
      <c r="E853" t="s">
        <v>45</v>
      </c>
      <c r="F853" t="s">
        <v>33</v>
      </c>
      <c r="G853" t="s">
        <v>31</v>
      </c>
      <c r="H853">
        <v>1</v>
      </c>
      <c r="I853">
        <v>1500</v>
      </c>
    </row>
    <row r="854" spans="1:9" x14ac:dyDescent="0.3">
      <c r="A854" s="1">
        <v>46214</v>
      </c>
      <c r="B854">
        <v>2026</v>
      </c>
      <c r="C854">
        <v>7</v>
      </c>
      <c r="D854" t="s">
        <v>51</v>
      </c>
      <c r="E854" t="s">
        <v>45</v>
      </c>
      <c r="F854" t="s">
        <v>33</v>
      </c>
      <c r="G854" t="s">
        <v>31</v>
      </c>
      <c r="H854">
        <v>1</v>
      </c>
      <c r="I854">
        <v>1500</v>
      </c>
    </row>
    <row r="855" spans="1:9" x14ac:dyDescent="0.3">
      <c r="A855" s="1">
        <v>46045</v>
      </c>
      <c r="B855">
        <v>2026</v>
      </c>
      <c r="C855">
        <v>1</v>
      </c>
      <c r="D855" t="s">
        <v>48</v>
      </c>
      <c r="E855" t="s">
        <v>43</v>
      </c>
      <c r="F855" t="s">
        <v>33</v>
      </c>
      <c r="G855" t="s">
        <v>31</v>
      </c>
      <c r="H855">
        <v>5</v>
      </c>
      <c r="I855">
        <v>7500</v>
      </c>
    </row>
    <row r="856" spans="1:9" x14ac:dyDescent="0.3">
      <c r="A856" s="1">
        <v>46170</v>
      </c>
      <c r="B856">
        <v>2026</v>
      </c>
      <c r="C856">
        <v>5</v>
      </c>
      <c r="D856" t="s">
        <v>50</v>
      </c>
      <c r="E856" t="s">
        <v>41</v>
      </c>
      <c r="F856" t="s">
        <v>33</v>
      </c>
      <c r="G856" t="s">
        <v>31</v>
      </c>
      <c r="H856">
        <v>3</v>
      </c>
      <c r="I856">
        <v>4500</v>
      </c>
    </row>
    <row r="857" spans="1:9" x14ac:dyDescent="0.3">
      <c r="A857" s="1">
        <v>46174</v>
      </c>
      <c r="B857">
        <v>2026</v>
      </c>
      <c r="C857">
        <v>6</v>
      </c>
      <c r="D857" t="s">
        <v>40</v>
      </c>
      <c r="E857" t="s">
        <v>41</v>
      </c>
      <c r="F857" t="s">
        <v>33</v>
      </c>
      <c r="G857" t="s">
        <v>31</v>
      </c>
      <c r="H857">
        <v>2</v>
      </c>
      <c r="I857">
        <v>3000</v>
      </c>
    </row>
    <row r="858" spans="1:9" x14ac:dyDescent="0.3">
      <c r="A858" s="1">
        <v>46168</v>
      </c>
      <c r="B858">
        <v>2026</v>
      </c>
      <c r="C858">
        <v>5</v>
      </c>
      <c r="D858" t="s">
        <v>42</v>
      </c>
      <c r="E858" t="s">
        <v>43</v>
      </c>
      <c r="F858" t="s">
        <v>33</v>
      </c>
      <c r="G858" t="s">
        <v>31</v>
      </c>
      <c r="H858">
        <v>4</v>
      </c>
      <c r="I858">
        <v>6000</v>
      </c>
    </row>
    <row r="859" spans="1:9" x14ac:dyDescent="0.3">
      <c r="A859" s="1">
        <v>46143</v>
      </c>
      <c r="B859">
        <v>2026</v>
      </c>
      <c r="C859">
        <v>5</v>
      </c>
      <c r="D859" t="s">
        <v>42</v>
      </c>
      <c r="E859" t="s">
        <v>43</v>
      </c>
      <c r="F859" t="s">
        <v>33</v>
      </c>
      <c r="G859" t="s">
        <v>31</v>
      </c>
      <c r="H859">
        <v>1</v>
      </c>
      <c r="I859">
        <v>1500</v>
      </c>
    </row>
    <row r="860" spans="1:9" x14ac:dyDescent="0.3">
      <c r="A860" s="1">
        <v>46195</v>
      </c>
      <c r="B860">
        <v>2026</v>
      </c>
      <c r="C860">
        <v>6</v>
      </c>
      <c r="D860" t="s">
        <v>50</v>
      </c>
      <c r="E860" t="s">
        <v>41</v>
      </c>
      <c r="F860" t="s">
        <v>33</v>
      </c>
      <c r="G860" t="s">
        <v>31</v>
      </c>
      <c r="H860">
        <v>2</v>
      </c>
      <c r="I860">
        <v>3000</v>
      </c>
    </row>
    <row r="861" spans="1:9" x14ac:dyDescent="0.3">
      <c r="A861" s="1">
        <v>46301</v>
      </c>
      <c r="B861">
        <v>2026</v>
      </c>
      <c r="C861">
        <v>10</v>
      </c>
      <c r="D861" t="s">
        <v>44</v>
      </c>
      <c r="E861" t="s">
        <v>45</v>
      </c>
      <c r="F861" t="s">
        <v>33</v>
      </c>
      <c r="G861" t="s">
        <v>31</v>
      </c>
      <c r="H861">
        <v>4</v>
      </c>
      <c r="I861">
        <v>6000</v>
      </c>
    </row>
    <row r="862" spans="1:9" x14ac:dyDescent="0.3">
      <c r="A862" s="1">
        <v>46196</v>
      </c>
      <c r="B862">
        <v>2026</v>
      </c>
      <c r="C862">
        <v>6</v>
      </c>
      <c r="D862" t="s">
        <v>42</v>
      </c>
      <c r="E862" t="s">
        <v>43</v>
      </c>
      <c r="F862" t="s">
        <v>33</v>
      </c>
      <c r="G862" t="s">
        <v>31</v>
      </c>
      <c r="H862">
        <v>4</v>
      </c>
      <c r="I862">
        <v>6000</v>
      </c>
    </row>
    <row r="863" spans="1:9" x14ac:dyDescent="0.3">
      <c r="A863" s="1">
        <v>46234</v>
      </c>
      <c r="B863">
        <v>2026</v>
      </c>
      <c r="C863">
        <v>7</v>
      </c>
      <c r="D863" t="s">
        <v>46</v>
      </c>
      <c r="E863" t="s">
        <v>47</v>
      </c>
      <c r="F863" t="s">
        <v>33</v>
      </c>
      <c r="G863" t="s">
        <v>31</v>
      </c>
      <c r="H863">
        <v>5</v>
      </c>
      <c r="I863">
        <v>7500</v>
      </c>
    </row>
    <row r="864" spans="1:9" x14ac:dyDescent="0.3">
      <c r="A864" s="1">
        <v>46273</v>
      </c>
      <c r="B864">
        <v>2026</v>
      </c>
      <c r="C864">
        <v>9</v>
      </c>
      <c r="D864" t="s">
        <v>44</v>
      </c>
      <c r="E864" t="s">
        <v>45</v>
      </c>
      <c r="F864" t="s">
        <v>33</v>
      </c>
      <c r="G864" t="s">
        <v>31</v>
      </c>
      <c r="H864">
        <v>4</v>
      </c>
      <c r="I864">
        <v>6000</v>
      </c>
    </row>
    <row r="865" spans="1:9" x14ac:dyDescent="0.3">
      <c r="A865" s="1">
        <v>46268</v>
      </c>
      <c r="B865">
        <v>2026</v>
      </c>
      <c r="C865">
        <v>9</v>
      </c>
      <c r="D865" t="s">
        <v>44</v>
      </c>
      <c r="E865" t="s">
        <v>45</v>
      </c>
      <c r="F865" t="s">
        <v>33</v>
      </c>
      <c r="G865" t="s">
        <v>31</v>
      </c>
      <c r="H865">
        <v>4</v>
      </c>
      <c r="I865">
        <v>6000</v>
      </c>
    </row>
    <row r="866" spans="1:9" x14ac:dyDescent="0.3">
      <c r="A866" s="1">
        <v>46173</v>
      </c>
      <c r="B866">
        <v>2026</v>
      </c>
      <c r="C866">
        <v>5</v>
      </c>
      <c r="D866" t="s">
        <v>51</v>
      </c>
      <c r="E866" t="s">
        <v>45</v>
      </c>
      <c r="F866" t="s">
        <v>33</v>
      </c>
      <c r="G866" t="s">
        <v>31</v>
      </c>
      <c r="H866">
        <v>1</v>
      </c>
      <c r="I866">
        <v>1500</v>
      </c>
    </row>
    <row r="867" spans="1:9" x14ac:dyDescent="0.3">
      <c r="A867" s="1">
        <v>46126</v>
      </c>
      <c r="B867">
        <v>2026</v>
      </c>
      <c r="C867">
        <v>4</v>
      </c>
      <c r="D867" t="s">
        <v>51</v>
      </c>
      <c r="E867" t="s">
        <v>45</v>
      </c>
      <c r="F867" t="s">
        <v>33</v>
      </c>
      <c r="G867" t="s">
        <v>31</v>
      </c>
      <c r="H867">
        <v>4</v>
      </c>
      <c r="I867">
        <v>6000</v>
      </c>
    </row>
    <row r="868" spans="1:9" x14ac:dyDescent="0.3">
      <c r="A868" s="1">
        <v>46067</v>
      </c>
      <c r="B868">
        <v>2026</v>
      </c>
      <c r="C868">
        <v>2</v>
      </c>
      <c r="D868" t="s">
        <v>40</v>
      </c>
      <c r="E868" t="s">
        <v>41</v>
      </c>
      <c r="F868" t="s">
        <v>33</v>
      </c>
      <c r="G868" t="s">
        <v>31</v>
      </c>
      <c r="H868">
        <v>3</v>
      </c>
      <c r="I868">
        <v>4500</v>
      </c>
    </row>
    <row r="869" spans="1:9" x14ac:dyDescent="0.3">
      <c r="A869" s="1">
        <v>46198</v>
      </c>
      <c r="B869">
        <v>2026</v>
      </c>
      <c r="C869">
        <v>6</v>
      </c>
      <c r="D869" t="s">
        <v>50</v>
      </c>
      <c r="E869" t="s">
        <v>41</v>
      </c>
      <c r="F869" t="s">
        <v>33</v>
      </c>
      <c r="G869" t="s">
        <v>31</v>
      </c>
      <c r="H869">
        <v>1</v>
      </c>
      <c r="I869">
        <v>1500</v>
      </c>
    </row>
    <row r="870" spans="1:9" x14ac:dyDescent="0.3">
      <c r="A870" s="1">
        <v>46307</v>
      </c>
      <c r="B870">
        <v>2026</v>
      </c>
      <c r="C870">
        <v>10</v>
      </c>
      <c r="D870" t="s">
        <v>40</v>
      </c>
      <c r="E870" t="s">
        <v>41</v>
      </c>
      <c r="F870" t="s">
        <v>33</v>
      </c>
      <c r="G870" t="s">
        <v>31</v>
      </c>
      <c r="H870">
        <v>3</v>
      </c>
      <c r="I870">
        <v>4500</v>
      </c>
    </row>
    <row r="871" spans="1:9" x14ac:dyDescent="0.3">
      <c r="A871" s="1">
        <v>46247</v>
      </c>
      <c r="B871">
        <v>2026</v>
      </c>
      <c r="C871">
        <v>8</v>
      </c>
      <c r="D871" t="s">
        <v>46</v>
      </c>
      <c r="E871" t="s">
        <v>47</v>
      </c>
      <c r="F871" t="s">
        <v>33</v>
      </c>
      <c r="G871" t="s">
        <v>31</v>
      </c>
      <c r="H871">
        <v>1</v>
      </c>
      <c r="I871">
        <v>1500</v>
      </c>
    </row>
    <row r="872" spans="1:9" x14ac:dyDescent="0.3">
      <c r="A872" s="1">
        <v>46049</v>
      </c>
      <c r="B872">
        <v>2026</v>
      </c>
      <c r="C872">
        <v>1</v>
      </c>
      <c r="D872" t="s">
        <v>40</v>
      </c>
      <c r="E872" t="s">
        <v>41</v>
      </c>
      <c r="F872" t="s">
        <v>33</v>
      </c>
      <c r="G872" t="s">
        <v>31</v>
      </c>
      <c r="H872">
        <v>3</v>
      </c>
      <c r="I872">
        <v>4500</v>
      </c>
    </row>
    <row r="873" spans="1:9" x14ac:dyDescent="0.3">
      <c r="A873" s="1">
        <v>46194</v>
      </c>
      <c r="B873">
        <v>2026</v>
      </c>
      <c r="C873">
        <v>6</v>
      </c>
      <c r="D873" t="s">
        <v>51</v>
      </c>
      <c r="E873" t="s">
        <v>45</v>
      </c>
      <c r="F873" t="s">
        <v>33</v>
      </c>
      <c r="G873" t="s">
        <v>31</v>
      </c>
      <c r="H873">
        <v>1</v>
      </c>
      <c r="I873">
        <v>1500</v>
      </c>
    </row>
    <row r="874" spans="1:9" x14ac:dyDescent="0.3">
      <c r="A874" s="1">
        <v>46265</v>
      </c>
      <c r="B874">
        <v>2026</v>
      </c>
      <c r="C874">
        <v>8</v>
      </c>
      <c r="D874" t="s">
        <v>46</v>
      </c>
      <c r="E874" t="s">
        <v>47</v>
      </c>
      <c r="F874" t="s">
        <v>33</v>
      </c>
      <c r="G874" t="s">
        <v>31</v>
      </c>
      <c r="H874">
        <v>5</v>
      </c>
      <c r="I874">
        <v>7500</v>
      </c>
    </row>
    <row r="875" spans="1:9" x14ac:dyDescent="0.3">
      <c r="A875" s="1">
        <v>46245</v>
      </c>
      <c r="B875">
        <v>2026</v>
      </c>
      <c r="C875">
        <v>8</v>
      </c>
      <c r="D875" t="s">
        <v>46</v>
      </c>
      <c r="E875" t="s">
        <v>47</v>
      </c>
      <c r="F875" t="s">
        <v>33</v>
      </c>
      <c r="G875" t="s">
        <v>31</v>
      </c>
      <c r="H875">
        <v>5</v>
      </c>
      <c r="I875">
        <v>7500</v>
      </c>
    </row>
    <row r="876" spans="1:9" x14ac:dyDescent="0.3">
      <c r="A876" s="1">
        <v>46068</v>
      </c>
      <c r="B876">
        <v>2026</v>
      </c>
      <c r="C876">
        <v>2</v>
      </c>
      <c r="D876" t="s">
        <v>42</v>
      </c>
      <c r="E876" t="s">
        <v>43</v>
      </c>
      <c r="F876" t="s">
        <v>33</v>
      </c>
      <c r="G876" t="s">
        <v>31</v>
      </c>
      <c r="H876">
        <v>1</v>
      </c>
      <c r="I876">
        <v>1500</v>
      </c>
    </row>
    <row r="877" spans="1:9" x14ac:dyDescent="0.3">
      <c r="A877" s="1">
        <v>46299</v>
      </c>
      <c r="B877">
        <v>2026</v>
      </c>
      <c r="C877">
        <v>10</v>
      </c>
      <c r="D877" t="s">
        <v>42</v>
      </c>
      <c r="E877" t="s">
        <v>43</v>
      </c>
      <c r="F877" t="s">
        <v>33</v>
      </c>
      <c r="G877" t="s">
        <v>31</v>
      </c>
      <c r="H877">
        <v>1</v>
      </c>
      <c r="I877">
        <v>1500</v>
      </c>
    </row>
    <row r="878" spans="1:9" x14ac:dyDescent="0.3">
      <c r="A878" s="1">
        <v>46050</v>
      </c>
      <c r="B878">
        <v>2026</v>
      </c>
      <c r="C878">
        <v>1</v>
      </c>
      <c r="D878" t="s">
        <v>44</v>
      </c>
      <c r="E878" t="s">
        <v>45</v>
      </c>
      <c r="F878" t="s">
        <v>33</v>
      </c>
      <c r="G878" t="s">
        <v>31</v>
      </c>
      <c r="H878">
        <v>2</v>
      </c>
      <c r="I878">
        <v>3000</v>
      </c>
    </row>
    <row r="879" spans="1:9" x14ac:dyDescent="0.3">
      <c r="A879" s="1">
        <v>46045</v>
      </c>
      <c r="B879">
        <v>2026</v>
      </c>
      <c r="C879">
        <v>1</v>
      </c>
      <c r="D879" t="s">
        <v>50</v>
      </c>
      <c r="E879" t="s">
        <v>41</v>
      </c>
      <c r="F879" t="s">
        <v>33</v>
      </c>
      <c r="G879" t="s">
        <v>31</v>
      </c>
      <c r="H879">
        <v>4</v>
      </c>
      <c r="I879">
        <v>6000</v>
      </c>
    </row>
    <row r="880" spans="1:9" x14ac:dyDescent="0.3">
      <c r="A880" s="1">
        <v>46205</v>
      </c>
      <c r="B880">
        <v>2026</v>
      </c>
      <c r="C880">
        <v>7</v>
      </c>
      <c r="D880" t="s">
        <v>46</v>
      </c>
      <c r="E880" t="s">
        <v>47</v>
      </c>
      <c r="F880" t="s">
        <v>33</v>
      </c>
      <c r="G880" t="s">
        <v>31</v>
      </c>
      <c r="H880">
        <v>5</v>
      </c>
      <c r="I880">
        <v>7500</v>
      </c>
    </row>
    <row r="881" spans="1:9" x14ac:dyDescent="0.3">
      <c r="A881" s="1">
        <v>46133</v>
      </c>
      <c r="B881">
        <v>2026</v>
      </c>
      <c r="C881">
        <v>4</v>
      </c>
      <c r="D881" t="s">
        <v>40</v>
      </c>
      <c r="E881" t="s">
        <v>41</v>
      </c>
      <c r="F881" t="s">
        <v>33</v>
      </c>
      <c r="G881" t="s">
        <v>31</v>
      </c>
      <c r="H881">
        <v>2</v>
      </c>
      <c r="I881">
        <v>3000</v>
      </c>
    </row>
    <row r="882" spans="1:9" x14ac:dyDescent="0.3">
      <c r="A882" s="1">
        <v>46054</v>
      </c>
      <c r="B882">
        <v>2026</v>
      </c>
      <c r="C882">
        <v>2</v>
      </c>
      <c r="D882" t="s">
        <v>48</v>
      </c>
      <c r="E882" t="s">
        <v>43</v>
      </c>
      <c r="F882" t="s">
        <v>33</v>
      </c>
      <c r="G882" t="s">
        <v>31</v>
      </c>
      <c r="H882">
        <v>2</v>
      </c>
      <c r="I882">
        <v>3000</v>
      </c>
    </row>
    <row r="883" spans="1:9" x14ac:dyDescent="0.3">
      <c r="A883" s="1">
        <v>46133</v>
      </c>
      <c r="B883">
        <v>2026</v>
      </c>
      <c r="C883">
        <v>4</v>
      </c>
      <c r="D883" t="s">
        <v>48</v>
      </c>
      <c r="E883" t="s">
        <v>43</v>
      </c>
      <c r="F883" t="s">
        <v>33</v>
      </c>
      <c r="G883" t="s">
        <v>31</v>
      </c>
      <c r="H883">
        <v>5</v>
      </c>
      <c r="I883">
        <v>7500</v>
      </c>
    </row>
    <row r="884" spans="1:9" x14ac:dyDescent="0.3">
      <c r="A884" s="1">
        <v>46286</v>
      </c>
      <c r="B884">
        <v>2026</v>
      </c>
      <c r="C884">
        <v>9</v>
      </c>
      <c r="D884" t="s">
        <v>48</v>
      </c>
      <c r="E884" t="s">
        <v>43</v>
      </c>
      <c r="F884" t="s">
        <v>33</v>
      </c>
      <c r="G884" t="s">
        <v>31</v>
      </c>
      <c r="H884">
        <v>1</v>
      </c>
      <c r="I884">
        <v>1500</v>
      </c>
    </row>
    <row r="885" spans="1:9" x14ac:dyDescent="0.3">
      <c r="A885" s="1">
        <v>46314</v>
      </c>
      <c r="B885">
        <v>2026</v>
      </c>
      <c r="C885">
        <v>10</v>
      </c>
      <c r="D885" t="s">
        <v>48</v>
      </c>
      <c r="E885" t="s">
        <v>43</v>
      </c>
      <c r="F885" t="s">
        <v>33</v>
      </c>
      <c r="G885" t="s">
        <v>31</v>
      </c>
      <c r="H885">
        <v>1</v>
      </c>
      <c r="I885">
        <v>1500</v>
      </c>
    </row>
    <row r="886" spans="1:9" x14ac:dyDescent="0.3">
      <c r="A886" s="1">
        <v>46244</v>
      </c>
      <c r="B886">
        <v>2026</v>
      </c>
      <c r="C886">
        <v>8</v>
      </c>
      <c r="D886" t="s">
        <v>46</v>
      </c>
      <c r="E886" t="s">
        <v>47</v>
      </c>
      <c r="F886" t="s">
        <v>33</v>
      </c>
      <c r="G886" t="s">
        <v>31</v>
      </c>
      <c r="H886">
        <v>2</v>
      </c>
      <c r="I886">
        <v>3000</v>
      </c>
    </row>
    <row r="887" spans="1:9" x14ac:dyDescent="0.3">
      <c r="A887" s="1">
        <v>46274</v>
      </c>
      <c r="B887">
        <v>2026</v>
      </c>
      <c r="C887">
        <v>9</v>
      </c>
      <c r="D887" t="s">
        <v>46</v>
      </c>
      <c r="E887" t="s">
        <v>47</v>
      </c>
      <c r="F887" t="s">
        <v>33</v>
      </c>
      <c r="G887" t="s">
        <v>31</v>
      </c>
      <c r="H887">
        <v>1</v>
      </c>
      <c r="I887">
        <v>1500</v>
      </c>
    </row>
    <row r="888" spans="1:9" x14ac:dyDescent="0.3">
      <c r="A888" s="1">
        <v>46036</v>
      </c>
      <c r="B888">
        <v>2026</v>
      </c>
      <c r="C888">
        <v>1</v>
      </c>
      <c r="D888" t="s">
        <v>44</v>
      </c>
      <c r="E888" t="s">
        <v>45</v>
      </c>
      <c r="F888" t="s">
        <v>33</v>
      </c>
      <c r="G888" t="s">
        <v>31</v>
      </c>
      <c r="H888">
        <v>3</v>
      </c>
      <c r="I888">
        <v>4500</v>
      </c>
    </row>
    <row r="889" spans="1:9" x14ac:dyDescent="0.3">
      <c r="A889" s="1">
        <v>46306</v>
      </c>
      <c r="B889">
        <v>2026</v>
      </c>
      <c r="C889">
        <v>10</v>
      </c>
      <c r="D889" t="s">
        <v>50</v>
      </c>
      <c r="E889" t="s">
        <v>41</v>
      </c>
      <c r="F889" t="s">
        <v>33</v>
      </c>
      <c r="G889" t="s">
        <v>31</v>
      </c>
      <c r="H889">
        <v>3</v>
      </c>
      <c r="I889">
        <v>4500</v>
      </c>
    </row>
    <row r="890" spans="1:9" x14ac:dyDescent="0.3">
      <c r="A890" s="1">
        <v>46171</v>
      </c>
      <c r="B890">
        <v>2026</v>
      </c>
      <c r="C890">
        <v>5</v>
      </c>
      <c r="D890" t="s">
        <v>40</v>
      </c>
      <c r="E890" t="s">
        <v>41</v>
      </c>
      <c r="F890" t="s">
        <v>33</v>
      </c>
      <c r="G890" t="s">
        <v>31</v>
      </c>
      <c r="H890">
        <v>5</v>
      </c>
      <c r="I890">
        <v>7500</v>
      </c>
    </row>
    <row r="891" spans="1:9" x14ac:dyDescent="0.3">
      <c r="A891" s="1">
        <v>46077</v>
      </c>
      <c r="B891">
        <v>2026</v>
      </c>
      <c r="C891">
        <v>2</v>
      </c>
      <c r="D891" t="s">
        <v>49</v>
      </c>
      <c r="E891" t="s">
        <v>47</v>
      </c>
      <c r="F891" t="s">
        <v>33</v>
      </c>
      <c r="G891" t="s">
        <v>31</v>
      </c>
      <c r="H891">
        <v>4</v>
      </c>
      <c r="I891">
        <v>6000</v>
      </c>
    </row>
    <row r="892" spans="1:9" x14ac:dyDescent="0.3">
      <c r="A892" s="1">
        <v>46177</v>
      </c>
      <c r="B892">
        <v>2026</v>
      </c>
      <c r="C892">
        <v>6</v>
      </c>
      <c r="D892" t="s">
        <v>42</v>
      </c>
      <c r="E892" t="s">
        <v>43</v>
      </c>
      <c r="F892" t="s">
        <v>33</v>
      </c>
      <c r="G892" t="s">
        <v>31</v>
      </c>
      <c r="H892">
        <v>2</v>
      </c>
      <c r="I892">
        <v>3000</v>
      </c>
    </row>
    <row r="893" spans="1:9" x14ac:dyDescent="0.3">
      <c r="A893" s="1">
        <v>46158</v>
      </c>
      <c r="B893">
        <v>2026</v>
      </c>
      <c r="C893">
        <v>5</v>
      </c>
      <c r="D893" t="s">
        <v>48</v>
      </c>
      <c r="E893" t="s">
        <v>43</v>
      </c>
      <c r="F893" t="s">
        <v>33</v>
      </c>
      <c r="G893" t="s">
        <v>31</v>
      </c>
      <c r="H893">
        <v>1</v>
      </c>
      <c r="I893">
        <v>1500</v>
      </c>
    </row>
    <row r="894" spans="1:9" x14ac:dyDescent="0.3">
      <c r="A894" s="1">
        <v>46143</v>
      </c>
      <c r="B894">
        <v>2026</v>
      </c>
      <c r="C894">
        <v>5</v>
      </c>
      <c r="D894" t="s">
        <v>48</v>
      </c>
      <c r="E894" t="s">
        <v>43</v>
      </c>
      <c r="F894" t="s">
        <v>33</v>
      </c>
      <c r="G894" t="s">
        <v>31</v>
      </c>
      <c r="H894">
        <v>3</v>
      </c>
      <c r="I894">
        <v>4500</v>
      </c>
    </row>
    <row r="895" spans="1:9" x14ac:dyDescent="0.3">
      <c r="A895" s="1">
        <v>46072</v>
      </c>
      <c r="B895">
        <v>2026</v>
      </c>
      <c r="C895">
        <v>2</v>
      </c>
      <c r="D895" t="s">
        <v>42</v>
      </c>
      <c r="E895" t="s">
        <v>43</v>
      </c>
      <c r="F895" t="s">
        <v>33</v>
      </c>
      <c r="G895" t="s">
        <v>31</v>
      </c>
      <c r="H895">
        <v>5</v>
      </c>
      <c r="I895">
        <v>7500</v>
      </c>
    </row>
    <row r="896" spans="1:9" x14ac:dyDescent="0.3">
      <c r="A896" s="1">
        <v>46121</v>
      </c>
      <c r="B896">
        <v>2026</v>
      </c>
      <c r="C896">
        <v>4</v>
      </c>
      <c r="D896" t="s">
        <v>50</v>
      </c>
      <c r="E896" t="s">
        <v>41</v>
      </c>
      <c r="F896" t="s">
        <v>33</v>
      </c>
      <c r="G896" t="s">
        <v>31</v>
      </c>
      <c r="H896">
        <v>2</v>
      </c>
      <c r="I896">
        <v>3000</v>
      </c>
    </row>
    <row r="897" spans="1:9" x14ac:dyDescent="0.3">
      <c r="A897" s="1">
        <v>46058</v>
      </c>
      <c r="B897">
        <v>2026</v>
      </c>
      <c r="C897">
        <v>2</v>
      </c>
      <c r="D897" t="s">
        <v>51</v>
      </c>
      <c r="E897" t="s">
        <v>45</v>
      </c>
      <c r="F897" t="s">
        <v>33</v>
      </c>
      <c r="G897" t="s">
        <v>31</v>
      </c>
      <c r="H897">
        <v>5</v>
      </c>
      <c r="I897">
        <v>7500</v>
      </c>
    </row>
    <row r="898" spans="1:9" x14ac:dyDescent="0.3">
      <c r="A898" s="1">
        <v>46041</v>
      </c>
      <c r="B898">
        <v>2026</v>
      </c>
      <c r="C898">
        <v>1</v>
      </c>
      <c r="D898" t="s">
        <v>51</v>
      </c>
      <c r="E898" t="s">
        <v>45</v>
      </c>
      <c r="F898" t="s">
        <v>33</v>
      </c>
      <c r="G898" t="s">
        <v>31</v>
      </c>
      <c r="H898">
        <v>5</v>
      </c>
      <c r="I898">
        <v>7500</v>
      </c>
    </row>
    <row r="899" spans="1:9" x14ac:dyDescent="0.3">
      <c r="A899" s="1">
        <v>46313</v>
      </c>
      <c r="B899">
        <v>2026</v>
      </c>
      <c r="C899">
        <v>10</v>
      </c>
      <c r="D899" t="s">
        <v>42</v>
      </c>
      <c r="E899" t="s">
        <v>43</v>
      </c>
      <c r="F899" t="s">
        <v>33</v>
      </c>
      <c r="G899" t="s">
        <v>31</v>
      </c>
      <c r="H899">
        <v>4</v>
      </c>
      <c r="I899">
        <v>6000</v>
      </c>
    </row>
    <row r="900" spans="1:9" x14ac:dyDescent="0.3">
      <c r="A900" s="1">
        <v>46060</v>
      </c>
      <c r="B900">
        <v>2026</v>
      </c>
      <c r="C900">
        <v>2</v>
      </c>
      <c r="D900" t="s">
        <v>49</v>
      </c>
      <c r="E900" t="s">
        <v>47</v>
      </c>
      <c r="F900" t="s">
        <v>33</v>
      </c>
      <c r="G900" t="s">
        <v>31</v>
      </c>
      <c r="H900">
        <v>2</v>
      </c>
      <c r="I900">
        <v>3000</v>
      </c>
    </row>
    <row r="901" spans="1:9" x14ac:dyDescent="0.3">
      <c r="A901" s="1">
        <v>46293</v>
      </c>
      <c r="B901">
        <v>2026</v>
      </c>
      <c r="C901">
        <v>9</v>
      </c>
      <c r="D901" t="s">
        <v>49</v>
      </c>
      <c r="E901" t="s">
        <v>47</v>
      </c>
      <c r="F901" t="s">
        <v>33</v>
      </c>
      <c r="G901" t="s">
        <v>31</v>
      </c>
      <c r="H901">
        <v>5</v>
      </c>
      <c r="I901">
        <v>7500</v>
      </c>
    </row>
    <row r="902" spans="1:9" x14ac:dyDescent="0.3">
      <c r="A902" s="1">
        <v>46282</v>
      </c>
      <c r="B902">
        <v>2026</v>
      </c>
      <c r="C902">
        <v>9</v>
      </c>
      <c r="D902" t="s">
        <v>40</v>
      </c>
      <c r="E902" t="s">
        <v>41</v>
      </c>
      <c r="F902" t="s">
        <v>33</v>
      </c>
      <c r="G902" t="s">
        <v>31</v>
      </c>
      <c r="H902">
        <v>1</v>
      </c>
      <c r="I902">
        <v>1500</v>
      </c>
    </row>
    <row r="903" spans="1:9" x14ac:dyDescent="0.3">
      <c r="A903" s="1">
        <v>46288</v>
      </c>
      <c r="B903">
        <v>2026</v>
      </c>
      <c r="C903">
        <v>9</v>
      </c>
      <c r="D903" t="s">
        <v>49</v>
      </c>
      <c r="E903" t="s">
        <v>47</v>
      </c>
      <c r="F903" t="s">
        <v>33</v>
      </c>
      <c r="G903" t="s">
        <v>31</v>
      </c>
      <c r="H903">
        <v>4</v>
      </c>
      <c r="I903">
        <v>6000</v>
      </c>
    </row>
    <row r="904" spans="1:9" x14ac:dyDescent="0.3">
      <c r="A904" s="1">
        <v>46216</v>
      </c>
      <c r="B904">
        <v>2026</v>
      </c>
      <c r="C904">
        <v>7</v>
      </c>
      <c r="D904" t="s">
        <v>51</v>
      </c>
      <c r="E904" t="s">
        <v>45</v>
      </c>
      <c r="F904" t="s">
        <v>33</v>
      </c>
      <c r="G904" t="s">
        <v>31</v>
      </c>
      <c r="H904">
        <v>2</v>
      </c>
      <c r="I904">
        <v>3000</v>
      </c>
    </row>
    <row r="905" spans="1:9" x14ac:dyDescent="0.3">
      <c r="A905" s="1">
        <v>46203</v>
      </c>
      <c r="B905">
        <v>2026</v>
      </c>
      <c r="C905">
        <v>6</v>
      </c>
      <c r="D905" t="s">
        <v>46</v>
      </c>
      <c r="E905" t="s">
        <v>47</v>
      </c>
      <c r="F905" t="s">
        <v>33</v>
      </c>
      <c r="G905" t="s">
        <v>31</v>
      </c>
      <c r="H905">
        <v>2</v>
      </c>
      <c r="I905">
        <v>3000</v>
      </c>
    </row>
    <row r="906" spans="1:9" x14ac:dyDescent="0.3">
      <c r="A906" s="1">
        <v>46216</v>
      </c>
      <c r="B906">
        <v>2026</v>
      </c>
      <c r="C906">
        <v>7</v>
      </c>
      <c r="D906" t="s">
        <v>42</v>
      </c>
      <c r="E906" t="s">
        <v>43</v>
      </c>
      <c r="F906" t="s">
        <v>33</v>
      </c>
      <c r="G906" t="s">
        <v>31</v>
      </c>
      <c r="H906">
        <v>3</v>
      </c>
      <c r="I906">
        <v>4500</v>
      </c>
    </row>
    <row r="907" spans="1:9" x14ac:dyDescent="0.3">
      <c r="A907" s="1">
        <v>46233</v>
      </c>
      <c r="B907">
        <v>2026</v>
      </c>
      <c r="C907">
        <v>7</v>
      </c>
      <c r="D907" t="s">
        <v>49</v>
      </c>
      <c r="E907" t="s">
        <v>47</v>
      </c>
      <c r="F907" t="s">
        <v>33</v>
      </c>
      <c r="G907" t="s">
        <v>31</v>
      </c>
      <c r="H907">
        <v>1</v>
      </c>
      <c r="I907">
        <v>1500</v>
      </c>
    </row>
    <row r="908" spans="1:9" x14ac:dyDescent="0.3">
      <c r="A908" s="1">
        <v>46302</v>
      </c>
      <c r="B908">
        <v>2026</v>
      </c>
      <c r="C908">
        <v>10</v>
      </c>
      <c r="D908" t="s">
        <v>48</v>
      </c>
      <c r="E908" t="s">
        <v>43</v>
      </c>
      <c r="F908" t="s">
        <v>33</v>
      </c>
      <c r="G908" t="s">
        <v>31</v>
      </c>
      <c r="H908">
        <v>5</v>
      </c>
      <c r="I908">
        <v>7500</v>
      </c>
    </row>
    <row r="909" spans="1:9" x14ac:dyDescent="0.3">
      <c r="A909" s="1">
        <v>46224</v>
      </c>
      <c r="B909">
        <v>2026</v>
      </c>
      <c r="C909">
        <v>7</v>
      </c>
      <c r="D909" t="s">
        <v>44</v>
      </c>
      <c r="E909" t="s">
        <v>45</v>
      </c>
      <c r="F909" t="s">
        <v>33</v>
      </c>
      <c r="G909" t="s">
        <v>31</v>
      </c>
      <c r="H909">
        <v>1</v>
      </c>
      <c r="I909">
        <v>1500</v>
      </c>
    </row>
    <row r="910" spans="1:9" x14ac:dyDescent="0.3">
      <c r="A910" s="1">
        <v>46043</v>
      </c>
      <c r="B910">
        <v>2026</v>
      </c>
      <c r="C910">
        <v>1</v>
      </c>
      <c r="D910" t="s">
        <v>51</v>
      </c>
      <c r="E910" t="s">
        <v>45</v>
      </c>
      <c r="F910" t="s">
        <v>33</v>
      </c>
      <c r="G910" t="s">
        <v>31</v>
      </c>
      <c r="H910">
        <v>3</v>
      </c>
      <c r="I910">
        <v>4500</v>
      </c>
    </row>
    <row r="911" spans="1:9" x14ac:dyDescent="0.3">
      <c r="A911" s="1">
        <v>46127</v>
      </c>
      <c r="B911">
        <v>2026</v>
      </c>
      <c r="C911">
        <v>4</v>
      </c>
      <c r="D911" t="s">
        <v>42</v>
      </c>
      <c r="E911" t="s">
        <v>43</v>
      </c>
      <c r="F911" t="s">
        <v>33</v>
      </c>
      <c r="G911" t="s">
        <v>31</v>
      </c>
      <c r="H911">
        <v>5</v>
      </c>
      <c r="I911">
        <v>7500</v>
      </c>
    </row>
    <row r="912" spans="1:9" x14ac:dyDescent="0.3">
      <c r="A912" s="1">
        <v>46193</v>
      </c>
      <c r="B912">
        <v>2026</v>
      </c>
      <c r="C912">
        <v>6</v>
      </c>
      <c r="D912" t="s">
        <v>46</v>
      </c>
      <c r="E912" t="s">
        <v>47</v>
      </c>
      <c r="F912" t="s">
        <v>33</v>
      </c>
      <c r="G912" t="s">
        <v>31</v>
      </c>
      <c r="H912">
        <v>5</v>
      </c>
      <c r="I912">
        <v>7500</v>
      </c>
    </row>
    <row r="913" spans="1:9" x14ac:dyDescent="0.3">
      <c r="A913" s="1">
        <v>46046</v>
      </c>
      <c r="B913">
        <v>2026</v>
      </c>
      <c r="C913">
        <v>1</v>
      </c>
      <c r="D913" t="s">
        <v>46</v>
      </c>
      <c r="E913" t="s">
        <v>47</v>
      </c>
      <c r="F913" t="s">
        <v>33</v>
      </c>
      <c r="G913" t="s">
        <v>31</v>
      </c>
      <c r="H913">
        <v>4</v>
      </c>
      <c r="I913">
        <v>6000</v>
      </c>
    </row>
    <row r="914" spans="1:9" x14ac:dyDescent="0.3">
      <c r="A914" s="1">
        <v>46036</v>
      </c>
      <c r="B914">
        <v>2026</v>
      </c>
      <c r="C914">
        <v>1</v>
      </c>
      <c r="D914" t="s">
        <v>51</v>
      </c>
      <c r="E914" t="s">
        <v>45</v>
      </c>
      <c r="F914" t="s">
        <v>33</v>
      </c>
      <c r="G914" t="s">
        <v>31</v>
      </c>
      <c r="H914">
        <v>5</v>
      </c>
      <c r="I914">
        <v>7500</v>
      </c>
    </row>
    <row r="915" spans="1:9" x14ac:dyDescent="0.3">
      <c r="A915" s="1">
        <v>46079</v>
      </c>
      <c r="B915">
        <v>2026</v>
      </c>
      <c r="C915">
        <v>2</v>
      </c>
      <c r="D915" t="s">
        <v>40</v>
      </c>
      <c r="E915" t="s">
        <v>41</v>
      </c>
      <c r="F915" t="s">
        <v>33</v>
      </c>
      <c r="G915" t="s">
        <v>31</v>
      </c>
      <c r="H915">
        <v>2</v>
      </c>
      <c r="I915">
        <v>3000</v>
      </c>
    </row>
    <row r="916" spans="1:9" x14ac:dyDescent="0.3">
      <c r="A916" s="1">
        <v>46198</v>
      </c>
      <c r="B916">
        <v>2026</v>
      </c>
      <c r="C916">
        <v>6</v>
      </c>
      <c r="D916" t="s">
        <v>42</v>
      </c>
      <c r="E916" t="s">
        <v>43</v>
      </c>
      <c r="F916" t="s">
        <v>33</v>
      </c>
      <c r="G916" t="s">
        <v>31</v>
      </c>
      <c r="H916">
        <v>3</v>
      </c>
      <c r="I916">
        <v>4500</v>
      </c>
    </row>
    <row r="917" spans="1:9" x14ac:dyDescent="0.3">
      <c r="A917" s="1">
        <v>46112</v>
      </c>
      <c r="B917">
        <v>2026</v>
      </c>
      <c r="C917">
        <v>3</v>
      </c>
      <c r="D917" t="s">
        <v>48</v>
      </c>
      <c r="E917" t="s">
        <v>43</v>
      </c>
      <c r="F917" t="s">
        <v>33</v>
      </c>
      <c r="G917" t="s">
        <v>31</v>
      </c>
      <c r="H917">
        <v>3</v>
      </c>
      <c r="I917">
        <v>4500</v>
      </c>
    </row>
    <row r="918" spans="1:9" x14ac:dyDescent="0.3">
      <c r="A918" s="1">
        <v>46205</v>
      </c>
      <c r="B918">
        <v>2026</v>
      </c>
      <c r="C918">
        <v>7</v>
      </c>
      <c r="D918" t="s">
        <v>40</v>
      </c>
      <c r="E918" t="s">
        <v>41</v>
      </c>
      <c r="F918" t="s">
        <v>33</v>
      </c>
      <c r="G918" t="s">
        <v>31</v>
      </c>
      <c r="H918">
        <v>1</v>
      </c>
      <c r="I918">
        <v>1500</v>
      </c>
    </row>
    <row r="919" spans="1:9" x14ac:dyDescent="0.3">
      <c r="A919" s="1">
        <v>46215</v>
      </c>
      <c r="B919">
        <v>2026</v>
      </c>
      <c r="C919">
        <v>7</v>
      </c>
      <c r="D919" t="s">
        <v>51</v>
      </c>
      <c r="E919" t="s">
        <v>45</v>
      </c>
      <c r="F919" t="s">
        <v>33</v>
      </c>
      <c r="G919" t="s">
        <v>31</v>
      </c>
      <c r="H919">
        <v>2</v>
      </c>
      <c r="I919">
        <v>3000</v>
      </c>
    </row>
    <row r="920" spans="1:9" x14ac:dyDescent="0.3">
      <c r="A920" s="1">
        <v>46123</v>
      </c>
      <c r="B920">
        <v>2026</v>
      </c>
      <c r="C920">
        <v>4</v>
      </c>
      <c r="D920" t="s">
        <v>51</v>
      </c>
      <c r="E920" t="s">
        <v>45</v>
      </c>
      <c r="F920" t="s">
        <v>33</v>
      </c>
      <c r="G920" t="s">
        <v>31</v>
      </c>
      <c r="H920">
        <v>2</v>
      </c>
      <c r="I920">
        <v>3000</v>
      </c>
    </row>
    <row r="921" spans="1:9" x14ac:dyDescent="0.3">
      <c r="A921" s="1">
        <v>46307</v>
      </c>
      <c r="B921">
        <v>2026</v>
      </c>
      <c r="C921">
        <v>10</v>
      </c>
      <c r="D921" t="s">
        <v>44</v>
      </c>
      <c r="E921" t="s">
        <v>45</v>
      </c>
      <c r="F921" t="s">
        <v>33</v>
      </c>
      <c r="G921" t="s">
        <v>31</v>
      </c>
      <c r="H921">
        <v>3</v>
      </c>
      <c r="I921">
        <v>4500</v>
      </c>
    </row>
    <row r="922" spans="1:9" x14ac:dyDescent="0.3">
      <c r="A922" s="1">
        <v>46293</v>
      </c>
      <c r="B922">
        <v>2026</v>
      </c>
      <c r="C922">
        <v>9</v>
      </c>
      <c r="D922" t="s">
        <v>51</v>
      </c>
      <c r="E922" t="s">
        <v>45</v>
      </c>
      <c r="F922" t="s">
        <v>33</v>
      </c>
      <c r="G922" t="s">
        <v>31</v>
      </c>
      <c r="H922">
        <v>1</v>
      </c>
      <c r="I922">
        <v>1500</v>
      </c>
    </row>
    <row r="923" spans="1:9" x14ac:dyDescent="0.3">
      <c r="A923" s="1">
        <v>46199</v>
      </c>
      <c r="B923">
        <v>2026</v>
      </c>
      <c r="C923">
        <v>6</v>
      </c>
      <c r="D923" t="s">
        <v>51</v>
      </c>
      <c r="E923" t="s">
        <v>45</v>
      </c>
      <c r="F923" t="s">
        <v>33</v>
      </c>
      <c r="G923" t="s">
        <v>31</v>
      </c>
      <c r="H923">
        <v>4</v>
      </c>
      <c r="I923">
        <v>6000</v>
      </c>
    </row>
    <row r="924" spans="1:9" x14ac:dyDescent="0.3">
      <c r="A924" s="1">
        <v>46158</v>
      </c>
      <c r="B924">
        <v>2026</v>
      </c>
      <c r="C924">
        <v>5</v>
      </c>
      <c r="D924" t="s">
        <v>49</v>
      </c>
      <c r="E924" t="s">
        <v>47</v>
      </c>
      <c r="F924" t="s">
        <v>33</v>
      </c>
      <c r="G924" t="s">
        <v>31</v>
      </c>
      <c r="H924">
        <v>5</v>
      </c>
      <c r="I924">
        <v>7500</v>
      </c>
    </row>
    <row r="925" spans="1:9" x14ac:dyDescent="0.3">
      <c r="A925" s="1">
        <v>46301</v>
      </c>
      <c r="B925">
        <v>2026</v>
      </c>
      <c r="C925">
        <v>10</v>
      </c>
      <c r="D925" t="s">
        <v>49</v>
      </c>
      <c r="E925" t="s">
        <v>47</v>
      </c>
      <c r="F925" t="s">
        <v>33</v>
      </c>
      <c r="G925" t="s">
        <v>31</v>
      </c>
      <c r="H925">
        <v>5</v>
      </c>
      <c r="I925">
        <v>7500</v>
      </c>
    </row>
    <row r="926" spans="1:9" x14ac:dyDescent="0.3">
      <c r="A926" s="1">
        <v>46306</v>
      </c>
      <c r="B926">
        <v>2026</v>
      </c>
      <c r="C926">
        <v>10</v>
      </c>
      <c r="D926" t="s">
        <v>44</v>
      </c>
      <c r="E926" t="s">
        <v>45</v>
      </c>
      <c r="F926" t="s">
        <v>33</v>
      </c>
      <c r="G926" t="s">
        <v>31</v>
      </c>
      <c r="H926">
        <v>3</v>
      </c>
      <c r="I926">
        <v>4500</v>
      </c>
    </row>
    <row r="927" spans="1:9" x14ac:dyDescent="0.3">
      <c r="A927" s="1">
        <v>46222</v>
      </c>
      <c r="B927">
        <v>2026</v>
      </c>
      <c r="C927">
        <v>7</v>
      </c>
      <c r="D927" t="s">
        <v>44</v>
      </c>
      <c r="E927" t="s">
        <v>45</v>
      </c>
      <c r="F927" t="s">
        <v>33</v>
      </c>
      <c r="G927" t="s">
        <v>31</v>
      </c>
      <c r="H927">
        <v>2</v>
      </c>
      <c r="I927">
        <v>3000</v>
      </c>
    </row>
    <row r="928" spans="1:9" x14ac:dyDescent="0.3">
      <c r="A928" s="1">
        <v>46105</v>
      </c>
      <c r="B928">
        <v>2026</v>
      </c>
      <c r="C928">
        <v>3</v>
      </c>
      <c r="D928" t="s">
        <v>44</v>
      </c>
      <c r="E928" t="s">
        <v>45</v>
      </c>
      <c r="F928" t="s">
        <v>33</v>
      </c>
      <c r="G928" t="s">
        <v>31</v>
      </c>
      <c r="H928">
        <v>1</v>
      </c>
      <c r="I928">
        <v>1500</v>
      </c>
    </row>
    <row r="929" spans="1:9" x14ac:dyDescent="0.3">
      <c r="A929" s="1">
        <v>46100</v>
      </c>
      <c r="B929">
        <v>2026</v>
      </c>
      <c r="C929">
        <v>3</v>
      </c>
      <c r="D929" t="s">
        <v>48</v>
      </c>
      <c r="E929" t="s">
        <v>43</v>
      </c>
      <c r="F929" t="s">
        <v>33</v>
      </c>
      <c r="G929" t="s">
        <v>31</v>
      </c>
      <c r="H929">
        <v>1</v>
      </c>
      <c r="I929">
        <v>1500</v>
      </c>
    </row>
    <row r="930" spans="1:9" x14ac:dyDescent="0.3">
      <c r="A930" s="1">
        <v>46180</v>
      </c>
      <c r="B930">
        <v>2026</v>
      </c>
      <c r="C930">
        <v>6</v>
      </c>
      <c r="D930" t="s">
        <v>40</v>
      </c>
      <c r="E930" t="s">
        <v>41</v>
      </c>
      <c r="F930" t="s">
        <v>33</v>
      </c>
      <c r="G930" t="s">
        <v>31</v>
      </c>
      <c r="H930">
        <v>1</v>
      </c>
      <c r="I930">
        <v>1500</v>
      </c>
    </row>
    <row r="931" spans="1:9" x14ac:dyDescent="0.3">
      <c r="A931" s="1">
        <v>46065</v>
      </c>
      <c r="B931">
        <v>2026</v>
      </c>
      <c r="C931">
        <v>2</v>
      </c>
      <c r="D931" t="s">
        <v>40</v>
      </c>
      <c r="E931" t="s">
        <v>41</v>
      </c>
      <c r="F931" t="s">
        <v>33</v>
      </c>
      <c r="G931" t="s">
        <v>31</v>
      </c>
      <c r="H931">
        <v>1</v>
      </c>
      <c r="I931">
        <v>1500</v>
      </c>
    </row>
    <row r="932" spans="1:9" x14ac:dyDescent="0.3">
      <c r="A932" s="1">
        <v>46027</v>
      </c>
      <c r="B932">
        <v>2026</v>
      </c>
      <c r="C932">
        <v>1</v>
      </c>
      <c r="D932" t="s">
        <v>40</v>
      </c>
      <c r="E932" t="s">
        <v>41</v>
      </c>
      <c r="F932" t="s">
        <v>33</v>
      </c>
      <c r="G932" t="s">
        <v>31</v>
      </c>
      <c r="H932">
        <v>2</v>
      </c>
      <c r="I932">
        <v>3000</v>
      </c>
    </row>
    <row r="933" spans="1:9" x14ac:dyDescent="0.3">
      <c r="A933" s="1">
        <v>46224</v>
      </c>
      <c r="B933">
        <v>2026</v>
      </c>
      <c r="C933">
        <v>7</v>
      </c>
      <c r="D933" t="s">
        <v>40</v>
      </c>
      <c r="E933" t="s">
        <v>41</v>
      </c>
      <c r="F933" t="s">
        <v>33</v>
      </c>
      <c r="G933" t="s">
        <v>31</v>
      </c>
      <c r="H933">
        <v>2</v>
      </c>
      <c r="I933">
        <v>3000</v>
      </c>
    </row>
    <row r="934" spans="1:9" x14ac:dyDescent="0.3">
      <c r="A934" s="1">
        <v>46036</v>
      </c>
      <c r="B934">
        <v>2026</v>
      </c>
      <c r="C934">
        <v>1</v>
      </c>
      <c r="D934" t="s">
        <v>46</v>
      </c>
      <c r="E934" t="s">
        <v>47</v>
      </c>
      <c r="F934" t="s">
        <v>33</v>
      </c>
      <c r="G934" t="s">
        <v>31</v>
      </c>
      <c r="H934">
        <v>4</v>
      </c>
      <c r="I934">
        <v>6000</v>
      </c>
    </row>
    <row r="935" spans="1:9" x14ac:dyDescent="0.3">
      <c r="A935" s="1">
        <v>46282</v>
      </c>
      <c r="B935">
        <v>2026</v>
      </c>
      <c r="C935">
        <v>9</v>
      </c>
      <c r="D935" t="s">
        <v>48</v>
      </c>
      <c r="E935" t="s">
        <v>43</v>
      </c>
      <c r="F935" t="s">
        <v>33</v>
      </c>
      <c r="G935" t="s">
        <v>31</v>
      </c>
      <c r="H935">
        <v>3</v>
      </c>
      <c r="I935">
        <v>4500</v>
      </c>
    </row>
    <row r="936" spans="1:9" x14ac:dyDescent="0.3">
      <c r="A936" s="1">
        <v>46202</v>
      </c>
      <c r="B936">
        <v>2026</v>
      </c>
      <c r="C936">
        <v>6</v>
      </c>
      <c r="D936" t="s">
        <v>51</v>
      </c>
      <c r="E936" t="s">
        <v>45</v>
      </c>
      <c r="F936" t="s">
        <v>33</v>
      </c>
      <c r="G936" t="s">
        <v>31</v>
      </c>
      <c r="H936">
        <v>4</v>
      </c>
      <c r="I936">
        <v>6000</v>
      </c>
    </row>
    <row r="937" spans="1:9" x14ac:dyDescent="0.3">
      <c r="A937" s="1">
        <v>46049</v>
      </c>
      <c r="B937">
        <v>2026</v>
      </c>
      <c r="C937">
        <v>1</v>
      </c>
      <c r="D937" t="s">
        <v>44</v>
      </c>
      <c r="E937" t="s">
        <v>45</v>
      </c>
      <c r="F937" t="s">
        <v>33</v>
      </c>
      <c r="G937" t="s">
        <v>31</v>
      </c>
      <c r="H937">
        <v>1</v>
      </c>
      <c r="I937">
        <v>1500</v>
      </c>
    </row>
    <row r="938" spans="1:9" x14ac:dyDescent="0.3">
      <c r="A938" s="1">
        <v>46062</v>
      </c>
      <c r="B938">
        <v>2026</v>
      </c>
      <c r="C938">
        <v>2</v>
      </c>
      <c r="D938" t="s">
        <v>40</v>
      </c>
      <c r="E938" t="s">
        <v>41</v>
      </c>
      <c r="F938" t="s">
        <v>33</v>
      </c>
      <c r="G938" t="s">
        <v>31</v>
      </c>
      <c r="H938">
        <v>2</v>
      </c>
      <c r="I938">
        <v>3000</v>
      </c>
    </row>
    <row r="939" spans="1:9" x14ac:dyDescent="0.3">
      <c r="A939" s="1">
        <v>46178</v>
      </c>
      <c r="B939">
        <v>2026</v>
      </c>
      <c r="C939">
        <v>6</v>
      </c>
      <c r="D939" t="s">
        <v>49</v>
      </c>
      <c r="E939" t="s">
        <v>47</v>
      </c>
      <c r="F939" t="s">
        <v>33</v>
      </c>
      <c r="G939" t="s">
        <v>31</v>
      </c>
      <c r="H939">
        <v>1</v>
      </c>
      <c r="I939">
        <v>1500</v>
      </c>
    </row>
    <row r="940" spans="1:9" x14ac:dyDescent="0.3">
      <c r="A940" s="1">
        <v>46170</v>
      </c>
      <c r="B940">
        <v>2026</v>
      </c>
      <c r="C940">
        <v>5</v>
      </c>
      <c r="D940" t="s">
        <v>50</v>
      </c>
      <c r="E940" t="s">
        <v>41</v>
      </c>
      <c r="F940" t="s">
        <v>33</v>
      </c>
      <c r="G940" t="s">
        <v>31</v>
      </c>
      <c r="H940">
        <v>2</v>
      </c>
      <c r="I940">
        <v>3000</v>
      </c>
    </row>
    <row r="941" spans="1:9" x14ac:dyDescent="0.3">
      <c r="A941" s="1">
        <v>46143</v>
      </c>
      <c r="B941">
        <v>2026</v>
      </c>
      <c r="C941">
        <v>5</v>
      </c>
      <c r="D941" t="s">
        <v>49</v>
      </c>
      <c r="E941" t="s">
        <v>47</v>
      </c>
      <c r="F941" t="s">
        <v>33</v>
      </c>
      <c r="G941" t="s">
        <v>31</v>
      </c>
      <c r="H941">
        <v>1</v>
      </c>
      <c r="I941">
        <v>1500</v>
      </c>
    </row>
    <row r="942" spans="1:9" x14ac:dyDescent="0.3">
      <c r="A942" s="1">
        <v>46324</v>
      </c>
      <c r="B942">
        <v>2026</v>
      </c>
      <c r="C942">
        <v>10</v>
      </c>
      <c r="D942" t="s">
        <v>51</v>
      </c>
      <c r="E942" t="s">
        <v>45</v>
      </c>
      <c r="F942" t="s">
        <v>33</v>
      </c>
      <c r="G942" t="s">
        <v>31</v>
      </c>
      <c r="H942">
        <v>4</v>
      </c>
      <c r="I942">
        <v>6000</v>
      </c>
    </row>
    <row r="943" spans="1:9" x14ac:dyDescent="0.3">
      <c r="A943" s="1">
        <v>46224</v>
      </c>
      <c r="B943">
        <v>2026</v>
      </c>
      <c r="C943">
        <v>7</v>
      </c>
      <c r="D943" t="s">
        <v>46</v>
      </c>
      <c r="E943" t="s">
        <v>47</v>
      </c>
      <c r="F943" t="s">
        <v>33</v>
      </c>
      <c r="G943" t="s">
        <v>31</v>
      </c>
      <c r="H943">
        <v>4</v>
      </c>
      <c r="I943">
        <v>6000</v>
      </c>
    </row>
    <row r="944" spans="1:9" x14ac:dyDescent="0.3">
      <c r="A944" s="1">
        <v>46074</v>
      </c>
      <c r="B944">
        <v>2026</v>
      </c>
      <c r="C944">
        <v>2</v>
      </c>
      <c r="D944" t="s">
        <v>48</v>
      </c>
      <c r="E944" t="s">
        <v>43</v>
      </c>
      <c r="F944" t="s">
        <v>33</v>
      </c>
      <c r="G944" t="s">
        <v>31</v>
      </c>
      <c r="H944">
        <v>3</v>
      </c>
      <c r="I944">
        <v>4500</v>
      </c>
    </row>
    <row r="945" spans="1:9" x14ac:dyDescent="0.3">
      <c r="A945" s="1">
        <v>46067</v>
      </c>
      <c r="B945">
        <v>2026</v>
      </c>
      <c r="C945">
        <v>2</v>
      </c>
      <c r="D945" t="s">
        <v>50</v>
      </c>
      <c r="E945" t="s">
        <v>41</v>
      </c>
      <c r="F945" t="s">
        <v>33</v>
      </c>
      <c r="G945" t="s">
        <v>31</v>
      </c>
      <c r="H945">
        <v>2</v>
      </c>
      <c r="I945">
        <v>3000</v>
      </c>
    </row>
    <row r="946" spans="1:9" x14ac:dyDescent="0.3">
      <c r="A946" s="1">
        <v>46052</v>
      </c>
      <c r="B946">
        <v>2026</v>
      </c>
      <c r="C946">
        <v>1</v>
      </c>
      <c r="D946" t="s">
        <v>48</v>
      </c>
      <c r="E946" t="s">
        <v>43</v>
      </c>
      <c r="F946" t="s">
        <v>33</v>
      </c>
      <c r="G946" t="s">
        <v>31</v>
      </c>
      <c r="H946">
        <v>5</v>
      </c>
      <c r="I946">
        <v>7500</v>
      </c>
    </row>
    <row r="947" spans="1:9" x14ac:dyDescent="0.3">
      <c r="A947" s="1">
        <v>46149</v>
      </c>
      <c r="B947">
        <v>2026</v>
      </c>
      <c r="C947">
        <v>5</v>
      </c>
      <c r="D947" t="s">
        <v>40</v>
      </c>
      <c r="E947" t="s">
        <v>41</v>
      </c>
      <c r="F947" t="s">
        <v>33</v>
      </c>
      <c r="G947" t="s">
        <v>31</v>
      </c>
      <c r="H947">
        <v>1</v>
      </c>
      <c r="I947">
        <v>1500</v>
      </c>
    </row>
    <row r="948" spans="1:9" x14ac:dyDescent="0.3">
      <c r="A948" s="1">
        <v>46156</v>
      </c>
      <c r="B948">
        <v>2026</v>
      </c>
      <c r="C948">
        <v>5</v>
      </c>
      <c r="D948" t="s">
        <v>42</v>
      </c>
      <c r="E948" t="s">
        <v>43</v>
      </c>
      <c r="F948" t="s">
        <v>33</v>
      </c>
      <c r="G948" t="s">
        <v>31</v>
      </c>
      <c r="H948">
        <v>3</v>
      </c>
      <c r="I948">
        <v>4500</v>
      </c>
    </row>
    <row r="949" spans="1:9" x14ac:dyDescent="0.3">
      <c r="A949" s="1">
        <v>46200</v>
      </c>
      <c r="B949">
        <v>2026</v>
      </c>
      <c r="C949">
        <v>6</v>
      </c>
      <c r="D949" t="s">
        <v>48</v>
      </c>
      <c r="E949" t="s">
        <v>43</v>
      </c>
      <c r="F949" t="s">
        <v>33</v>
      </c>
      <c r="G949" t="s">
        <v>31</v>
      </c>
      <c r="H949">
        <v>5</v>
      </c>
      <c r="I949">
        <v>7500</v>
      </c>
    </row>
    <row r="950" spans="1:9" x14ac:dyDescent="0.3">
      <c r="A950" s="1">
        <v>46230</v>
      </c>
      <c r="B950">
        <v>2026</v>
      </c>
      <c r="C950">
        <v>7</v>
      </c>
      <c r="D950" t="s">
        <v>42</v>
      </c>
      <c r="E950" t="s">
        <v>43</v>
      </c>
      <c r="F950" t="s">
        <v>33</v>
      </c>
      <c r="G950" t="s">
        <v>31</v>
      </c>
      <c r="H950">
        <v>4</v>
      </c>
      <c r="I950">
        <v>6000</v>
      </c>
    </row>
    <row r="951" spans="1:9" x14ac:dyDescent="0.3">
      <c r="A951" s="1">
        <v>46091</v>
      </c>
      <c r="B951">
        <v>2026</v>
      </c>
      <c r="C951">
        <v>3</v>
      </c>
      <c r="D951" t="s">
        <v>46</v>
      </c>
      <c r="E951" t="s">
        <v>47</v>
      </c>
      <c r="F951" t="s">
        <v>33</v>
      </c>
      <c r="G951" t="s">
        <v>31</v>
      </c>
      <c r="H951">
        <v>5</v>
      </c>
      <c r="I951">
        <v>7500</v>
      </c>
    </row>
    <row r="952" spans="1:9" x14ac:dyDescent="0.3">
      <c r="A952" s="1">
        <v>46317</v>
      </c>
      <c r="B952">
        <v>2026</v>
      </c>
      <c r="C952">
        <v>10</v>
      </c>
      <c r="D952" t="s">
        <v>51</v>
      </c>
      <c r="E952" t="s">
        <v>45</v>
      </c>
      <c r="F952" t="s">
        <v>33</v>
      </c>
      <c r="G952" t="s">
        <v>31</v>
      </c>
      <c r="H952">
        <v>4</v>
      </c>
      <c r="I952">
        <v>6000</v>
      </c>
    </row>
    <row r="953" spans="1:9" x14ac:dyDescent="0.3">
      <c r="A953" s="1">
        <v>46154</v>
      </c>
      <c r="B953">
        <v>2026</v>
      </c>
      <c r="C953">
        <v>5</v>
      </c>
      <c r="D953" t="s">
        <v>51</v>
      </c>
      <c r="E953" t="s">
        <v>45</v>
      </c>
      <c r="F953" t="s">
        <v>33</v>
      </c>
      <c r="G953" t="s">
        <v>31</v>
      </c>
      <c r="H953">
        <v>1</v>
      </c>
      <c r="I953">
        <v>1500</v>
      </c>
    </row>
    <row r="954" spans="1:9" x14ac:dyDescent="0.3">
      <c r="A954" s="1">
        <v>46299</v>
      </c>
      <c r="B954">
        <v>2026</v>
      </c>
      <c r="C954">
        <v>10</v>
      </c>
      <c r="D954" t="s">
        <v>46</v>
      </c>
      <c r="E954" t="s">
        <v>47</v>
      </c>
      <c r="F954" t="s">
        <v>33</v>
      </c>
      <c r="G954" t="s">
        <v>31</v>
      </c>
      <c r="H954">
        <v>2</v>
      </c>
      <c r="I954">
        <v>3000</v>
      </c>
    </row>
    <row r="955" spans="1:9" x14ac:dyDescent="0.3">
      <c r="A955" s="1">
        <v>46273</v>
      </c>
      <c r="B955">
        <v>2026</v>
      </c>
      <c r="C955">
        <v>9</v>
      </c>
      <c r="D955" t="s">
        <v>48</v>
      </c>
      <c r="E955" t="s">
        <v>43</v>
      </c>
      <c r="F955" t="s">
        <v>33</v>
      </c>
      <c r="G955" t="s">
        <v>31</v>
      </c>
      <c r="H955">
        <v>3</v>
      </c>
      <c r="I955">
        <v>4500</v>
      </c>
    </row>
    <row r="956" spans="1:9" x14ac:dyDescent="0.3">
      <c r="A956" s="1">
        <v>46246</v>
      </c>
      <c r="B956">
        <v>2026</v>
      </c>
      <c r="C956">
        <v>8</v>
      </c>
      <c r="D956" t="s">
        <v>49</v>
      </c>
      <c r="E956" t="s">
        <v>47</v>
      </c>
      <c r="F956" t="s">
        <v>33</v>
      </c>
      <c r="G956" t="s">
        <v>31</v>
      </c>
      <c r="H956">
        <v>1</v>
      </c>
      <c r="I956">
        <v>1500</v>
      </c>
    </row>
    <row r="957" spans="1:9" x14ac:dyDescent="0.3">
      <c r="A957" s="1">
        <v>46283</v>
      </c>
      <c r="B957">
        <v>2026</v>
      </c>
      <c r="C957">
        <v>9</v>
      </c>
      <c r="D957" t="s">
        <v>46</v>
      </c>
      <c r="E957" t="s">
        <v>47</v>
      </c>
      <c r="F957" t="s">
        <v>33</v>
      </c>
      <c r="G957" t="s">
        <v>31</v>
      </c>
      <c r="H957">
        <v>2</v>
      </c>
      <c r="I957">
        <v>3000</v>
      </c>
    </row>
    <row r="958" spans="1:9" x14ac:dyDescent="0.3">
      <c r="A958" s="1">
        <v>46092</v>
      </c>
      <c r="B958">
        <v>2026</v>
      </c>
      <c r="C958">
        <v>3</v>
      </c>
      <c r="D958" t="s">
        <v>44</v>
      </c>
      <c r="E958" t="s">
        <v>45</v>
      </c>
      <c r="F958" t="s">
        <v>33</v>
      </c>
      <c r="G958" t="s">
        <v>31</v>
      </c>
      <c r="H958">
        <v>5</v>
      </c>
      <c r="I958">
        <v>7500</v>
      </c>
    </row>
    <row r="959" spans="1:9" x14ac:dyDescent="0.3">
      <c r="A959" s="1">
        <v>46194</v>
      </c>
      <c r="B959">
        <v>2026</v>
      </c>
      <c r="C959">
        <v>6</v>
      </c>
      <c r="D959" t="s">
        <v>49</v>
      </c>
      <c r="E959" t="s">
        <v>47</v>
      </c>
      <c r="F959" t="s">
        <v>33</v>
      </c>
      <c r="G959" t="s">
        <v>31</v>
      </c>
      <c r="H959">
        <v>2</v>
      </c>
      <c r="I959">
        <v>3000</v>
      </c>
    </row>
    <row r="960" spans="1:9" x14ac:dyDescent="0.3">
      <c r="A960" s="1">
        <v>46113</v>
      </c>
      <c r="B960">
        <v>2026</v>
      </c>
      <c r="C960">
        <v>4</v>
      </c>
      <c r="D960" t="s">
        <v>46</v>
      </c>
      <c r="E960" t="s">
        <v>47</v>
      </c>
      <c r="F960" t="s">
        <v>33</v>
      </c>
      <c r="G960" t="s">
        <v>31</v>
      </c>
      <c r="H960">
        <v>1</v>
      </c>
      <c r="I960">
        <v>1500</v>
      </c>
    </row>
    <row r="961" spans="1:9" x14ac:dyDescent="0.3">
      <c r="A961" s="1">
        <v>46162</v>
      </c>
      <c r="B961">
        <v>2026</v>
      </c>
      <c r="C961">
        <v>5</v>
      </c>
      <c r="D961" t="s">
        <v>46</v>
      </c>
      <c r="E961" t="s">
        <v>47</v>
      </c>
      <c r="F961" t="s">
        <v>33</v>
      </c>
      <c r="G961" t="s">
        <v>31</v>
      </c>
      <c r="H961">
        <v>4</v>
      </c>
      <c r="I961">
        <v>6000</v>
      </c>
    </row>
    <row r="962" spans="1:9" x14ac:dyDescent="0.3">
      <c r="A962" s="1">
        <v>46283</v>
      </c>
      <c r="B962">
        <v>2026</v>
      </c>
      <c r="C962">
        <v>9</v>
      </c>
      <c r="D962" t="s">
        <v>51</v>
      </c>
      <c r="E962" t="s">
        <v>45</v>
      </c>
      <c r="F962" t="s">
        <v>33</v>
      </c>
      <c r="G962" t="s">
        <v>31</v>
      </c>
      <c r="H962">
        <v>5</v>
      </c>
      <c r="I962">
        <v>7500</v>
      </c>
    </row>
    <row r="963" spans="1:9" x14ac:dyDescent="0.3">
      <c r="A963" s="1">
        <v>46121</v>
      </c>
      <c r="B963">
        <v>2026</v>
      </c>
      <c r="C963">
        <v>4</v>
      </c>
      <c r="D963" t="s">
        <v>46</v>
      </c>
      <c r="E963" t="s">
        <v>47</v>
      </c>
      <c r="F963" t="s">
        <v>33</v>
      </c>
      <c r="G963" t="s">
        <v>31</v>
      </c>
      <c r="H963">
        <v>5</v>
      </c>
      <c r="I963">
        <v>7500</v>
      </c>
    </row>
    <row r="964" spans="1:9" x14ac:dyDescent="0.3">
      <c r="A964" s="1">
        <v>46220</v>
      </c>
      <c r="B964">
        <v>2026</v>
      </c>
      <c r="C964">
        <v>7</v>
      </c>
      <c r="D964" t="s">
        <v>48</v>
      </c>
      <c r="E964" t="s">
        <v>43</v>
      </c>
      <c r="F964" t="s">
        <v>33</v>
      </c>
      <c r="G964" t="s">
        <v>31</v>
      </c>
      <c r="H964">
        <v>4</v>
      </c>
      <c r="I964">
        <v>6000</v>
      </c>
    </row>
    <row r="965" spans="1:9" x14ac:dyDescent="0.3">
      <c r="A965" s="1">
        <v>46318</v>
      </c>
      <c r="B965">
        <v>2026</v>
      </c>
      <c r="C965">
        <v>10</v>
      </c>
      <c r="D965" t="s">
        <v>48</v>
      </c>
      <c r="E965" t="s">
        <v>43</v>
      </c>
      <c r="F965" t="s">
        <v>33</v>
      </c>
      <c r="G965" t="s">
        <v>31</v>
      </c>
      <c r="H965">
        <v>1</v>
      </c>
      <c r="I965">
        <v>1500</v>
      </c>
    </row>
    <row r="966" spans="1:9" x14ac:dyDescent="0.3">
      <c r="A966" s="1">
        <v>46112</v>
      </c>
      <c r="B966">
        <v>2026</v>
      </c>
      <c r="C966">
        <v>3</v>
      </c>
      <c r="D966" t="s">
        <v>48</v>
      </c>
      <c r="E966" t="s">
        <v>43</v>
      </c>
      <c r="F966" t="s">
        <v>33</v>
      </c>
      <c r="G966" t="s">
        <v>31</v>
      </c>
      <c r="H966">
        <v>1</v>
      </c>
      <c r="I966">
        <v>1500</v>
      </c>
    </row>
    <row r="967" spans="1:9" x14ac:dyDescent="0.3">
      <c r="A967" s="1">
        <v>46250</v>
      </c>
      <c r="B967">
        <v>2026</v>
      </c>
      <c r="C967">
        <v>8</v>
      </c>
      <c r="D967" t="s">
        <v>44</v>
      </c>
      <c r="E967" t="s">
        <v>45</v>
      </c>
      <c r="F967" t="s">
        <v>33</v>
      </c>
      <c r="G967" t="s">
        <v>31</v>
      </c>
      <c r="H967">
        <v>2</v>
      </c>
      <c r="I967">
        <v>3000</v>
      </c>
    </row>
    <row r="968" spans="1:9" x14ac:dyDescent="0.3">
      <c r="A968" s="1">
        <v>46101</v>
      </c>
      <c r="B968">
        <v>2026</v>
      </c>
      <c r="C968">
        <v>3</v>
      </c>
      <c r="D968" t="s">
        <v>50</v>
      </c>
      <c r="E968" t="s">
        <v>41</v>
      </c>
      <c r="F968" t="s">
        <v>33</v>
      </c>
      <c r="G968" t="s">
        <v>31</v>
      </c>
      <c r="H968">
        <v>3</v>
      </c>
      <c r="I968">
        <v>4500</v>
      </c>
    </row>
    <row r="969" spans="1:9" x14ac:dyDescent="0.3">
      <c r="A969" s="1">
        <v>46320</v>
      </c>
      <c r="B969">
        <v>2026</v>
      </c>
      <c r="C969">
        <v>10</v>
      </c>
      <c r="D969" t="s">
        <v>49</v>
      </c>
      <c r="E969" t="s">
        <v>47</v>
      </c>
      <c r="F969" t="s">
        <v>33</v>
      </c>
      <c r="G969" t="s">
        <v>31</v>
      </c>
      <c r="H969">
        <v>5</v>
      </c>
      <c r="I969">
        <v>7500</v>
      </c>
    </row>
    <row r="970" spans="1:9" x14ac:dyDescent="0.3">
      <c r="A970" s="1">
        <v>46182</v>
      </c>
      <c r="B970">
        <v>2026</v>
      </c>
      <c r="C970">
        <v>6</v>
      </c>
      <c r="D970" t="s">
        <v>50</v>
      </c>
      <c r="E970" t="s">
        <v>41</v>
      </c>
      <c r="F970" t="s">
        <v>33</v>
      </c>
      <c r="G970" t="s">
        <v>31</v>
      </c>
      <c r="H970">
        <v>5</v>
      </c>
      <c r="I970">
        <v>7500</v>
      </c>
    </row>
    <row r="971" spans="1:9" x14ac:dyDescent="0.3">
      <c r="A971" s="1">
        <v>46128</v>
      </c>
      <c r="B971">
        <v>2026</v>
      </c>
      <c r="C971">
        <v>4</v>
      </c>
      <c r="D971" t="s">
        <v>50</v>
      </c>
      <c r="E971" t="s">
        <v>41</v>
      </c>
      <c r="F971" t="s">
        <v>33</v>
      </c>
      <c r="G971" t="s">
        <v>31</v>
      </c>
      <c r="H971">
        <v>4</v>
      </c>
      <c r="I971">
        <v>6000</v>
      </c>
    </row>
    <row r="972" spans="1:9" x14ac:dyDescent="0.3">
      <c r="A972" s="1">
        <v>46116</v>
      </c>
      <c r="B972">
        <v>2026</v>
      </c>
      <c r="C972">
        <v>4</v>
      </c>
      <c r="D972" t="s">
        <v>42</v>
      </c>
      <c r="E972" t="s">
        <v>43</v>
      </c>
      <c r="F972" t="s">
        <v>33</v>
      </c>
      <c r="G972" t="s">
        <v>31</v>
      </c>
      <c r="H972">
        <v>3</v>
      </c>
      <c r="I972">
        <v>4500</v>
      </c>
    </row>
    <row r="973" spans="1:9" x14ac:dyDescent="0.3">
      <c r="A973" s="1">
        <v>46309</v>
      </c>
      <c r="B973">
        <v>2026</v>
      </c>
      <c r="C973">
        <v>10</v>
      </c>
      <c r="D973" t="s">
        <v>48</v>
      </c>
      <c r="E973" t="s">
        <v>43</v>
      </c>
      <c r="F973" t="s">
        <v>33</v>
      </c>
      <c r="G973" t="s">
        <v>31</v>
      </c>
      <c r="H973">
        <v>1</v>
      </c>
      <c r="I973">
        <v>1500</v>
      </c>
    </row>
    <row r="974" spans="1:9" x14ac:dyDescent="0.3">
      <c r="A974" s="1">
        <v>46293</v>
      </c>
      <c r="B974">
        <v>2026</v>
      </c>
      <c r="C974">
        <v>9</v>
      </c>
      <c r="D974" t="s">
        <v>42</v>
      </c>
      <c r="E974" t="s">
        <v>43</v>
      </c>
      <c r="F974" t="s">
        <v>33</v>
      </c>
      <c r="G974" t="s">
        <v>31</v>
      </c>
      <c r="H974">
        <v>3</v>
      </c>
      <c r="I974">
        <v>4500</v>
      </c>
    </row>
    <row r="975" spans="1:9" x14ac:dyDescent="0.3">
      <c r="A975" s="1">
        <v>46226</v>
      </c>
      <c r="B975">
        <v>2026</v>
      </c>
      <c r="C975">
        <v>7</v>
      </c>
      <c r="D975" t="s">
        <v>46</v>
      </c>
      <c r="E975" t="s">
        <v>47</v>
      </c>
      <c r="F975" t="s">
        <v>33</v>
      </c>
      <c r="G975" t="s">
        <v>31</v>
      </c>
      <c r="H975">
        <v>2</v>
      </c>
      <c r="I975">
        <v>3000</v>
      </c>
    </row>
    <row r="976" spans="1:9" x14ac:dyDescent="0.3">
      <c r="A976" s="1">
        <v>46269</v>
      </c>
      <c r="B976">
        <v>2026</v>
      </c>
      <c r="C976">
        <v>9</v>
      </c>
      <c r="D976" t="s">
        <v>50</v>
      </c>
      <c r="E976" t="s">
        <v>41</v>
      </c>
      <c r="F976" t="s">
        <v>33</v>
      </c>
      <c r="G976" t="s">
        <v>31</v>
      </c>
      <c r="H976">
        <v>2</v>
      </c>
      <c r="I976">
        <v>3000</v>
      </c>
    </row>
    <row r="977" spans="1:9" x14ac:dyDescent="0.3">
      <c r="A977" s="1">
        <v>46090</v>
      </c>
      <c r="B977">
        <v>2026</v>
      </c>
      <c r="C977">
        <v>3</v>
      </c>
      <c r="D977" t="s">
        <v>49</v>
      </c>
      <c r="E977" t="s">
        <v>47</v>
      </c>
      <c r="F977" t="s">
        <v>33</v>
      </c>
      <c r="G977" t="s">
        <v>31</v>
      </c>
      <c r="H977">
        <v>2</v>
      </c>
      <c r="I977">
        <v>3000</v>
      </c>
    </row>
    <row r="978" spans="1:9" x14ac:dyDescent="0.3">
      <c r="A978" s="1">
        <v>46311</v>
      </c>
      <c r="B978">
        <v>2026</v>
      </c>
      <c r="C978">
        <v>10</v>
      </c>
      <c r="D978" t="s">
        <v>44</v>
      </c>
      <c r="E978" t="s">
        <v>45</v>
      </c>
      <c r="F978" t="s">
        <v>33</v>
      </c>
      <c r="G978" t="s">
        <v>31</v>
      </c>
      <c r="H978">
        <v>1</v>
      </c>
      <c r="I978">
        <v>1500</v>
      </c>
    </row>
    <row r="979" spans="1:9" x14ac:dyDescent="0.3">
      <c r="A979" s="1">
        <v>46102</v>
      </c>
      <c r="B979">
        <v>2026</v>
      </c>
      <c r="C979">
        <v>3</v>
      </c>
      <c r="D979" t="s">
        <v>48</v>
      </c>
      <c r="E979" t="s">
        <v>43</v>
      </c>
      <c r="F979" t="s">
        <v>33</v>
      </c>
      <c r="G979" t="s">
        <v>31</v>
      </c>
      <c r="H979">
        <v>5</v>
      </c>
      <c r="I979">
        <v>7500</v>
      </c>
    </row>
    <row r="980" spans="1:9" x14ac:dyDescent="0.3">
      <c r="A980" s="1">
        <v>46024</v>
      </c>
      <c r="B980">
        <v>2026</v>
      </c>
      <c r="C980">
        <v>1</v>
      </c>
      <c r="D980" t="s">
        <v>51</v>
      </c>
      <c r="E980" t="s">
        <v>45</v>
      </c>
      <c r="F980" t="s">
        <v>33</v>
      </c>
      <c r="G980" t="s">
        <v>31</v>
      </c>
      <c r="H980">
        <v>3</v>
      </c>
      <c r="I980">
        <v>4500</v>
      </c>
    </row>
    <row r="981" spans="1:9" x14ac:dyDescent="0.3">
      <c r="A981" s="1">
        <v>46122</v>
      </c>
      <c r="B981">
        <v>2026</v>
      </c>
      <c r="C981">
        <v>4</v>
      </c>
      <c r="D981" t="s">
        <v>46</v>
      </c>
      <c r="E981" t="s">
        <v>47</v>
      </c>
      <c r="F981" t="s">
        <v>33</v>
      </c>
      <c r="G981" t="s">
        <v>31</v>
      </c>
      <c r="H981">
        <v>2</v>
      </c>
      <c r="I981">
        <v>3000</v>
      </c>
    </row>
    <row r="982" spans="1:9" x14ac:dyDescent="0.3">
      <c r="A982" s="1">
        <v>46289</v>
      </c>
      <c r="B982">
        <v>2026</v>
      </c>
      <c r="C982">
        <v>9</v>
      </c>
      <c r="D982" t="s">
        <v>50</v>
      </c>
      <c r="E982" t="s">
        <v>41</v>
      </c>
      <c r="F982" t="s">
        <v>33</v>
      </c>
      <c r="G982" t="s">
        <v>31</v>
      </c>
      <c r="H982">
        <v>1</v>
      </c>
      <c r="I982">
        <v>1500</v>
      </c>
    </row>
    <row r="983" spans="1:9" x14ac:dyDescent="0.3">
      <c r="A983" s="1">
        <v>46088</v>
      </c>
      <c r="B983">
        <v>2026</v>
      </c>
      <c r="C983">
        <v>3</v>
      </c>
      <c r="D983" t="s">
        <v>40</v>
      </c>
      <c r="E983" t="s">
        <v>41</v>
      </c>
      <c r="F983" t="s">
        <v>33</v>
      </c>
      <c r="G983" t="s">
        <v>31</v>
      </c>
      <c r="H983">
        <v>1</v>
      </c>
      <c r="I983">
        <v>1500</v>
      </c>
    </row>
    <row r="984" spans="1:9" x14ac:dyDescent="0.3">
      <c r="A984" s="1">
        <v>46093</v>
      </c>
      <c r="B984">
        <v>2026</v>
      </c>
      <c r="C984">
        <v>3</v>
      </c>
      <c r="D984" t="s">
        <v>48</v>
      </c>
      <c r="E984" t="s">
        <v>43</v>
      </c>
      <c r="F984" t="s">
        <v>33</v>
      </c>
      <c r="G984" t="s">
        <v>31</v>
      </c>
      <c r="H984">
        <v>5</v>
      </c>
      <c r="I984">
        <v>7500</v>
      </c>
    </row>
    <row r="985" spans="1:9" x14ac:dyDescent="0.3">
      <c r="A985" s="1">
        <v>46285</v>
      </c>
      <c r="B985">
        <v>2026</v>
      </c>
      <c r="C985">
        <v>9</v>
      </c>
      <c r="D985" t="s">
        <v>51</v>
      </c>
      <c r="E985" t="s">
        <v>45</v>
      </c>
      <c r="F985" t="s">
        <v>33</v>
      </c>
      <c r="G985" t="s">
        <v>31</v>
      </c>
      <c r="H985">
        <v>1</v>
      </c>
      <c r="I985">
        <v>1500</v>
      </c>
    </row>
    <row r="986" spans="1:9" x14ac:dyDescent="0.3">
      <c r="A986" s="1">
        <v>46248</v>
      </c>
      <c r="B986">
        <v>2026</v>
      </c>
      <c r="C986">
        <v>8</v>
      </c>
      <c r="D986" t="s">
        <v>50</v>
      </c>
      <c r="E986" t="s">
        <v>41</v>
      </c>
      <c r="F986" t="s">
        <v>33</v>
      </c>
      <c r="G986" t="s">
        <v>31</v>
      </c>
      <c r="H986">
        <v>4</v>
      </c>
      <c r="I986">
        <v>6000</v>
      </c>
    </row>
    <row r="987" spans="1:9" x14ac:dyDescent="0.3">
      <c r="A987" s="1">
        <v>46187</v>
      </c>
      <c r="B987">
        <v>2026</v>
      </c>
      <c r="C987">
        <v>6</v>
      </c>
      <c r="D987" t="s">
        <v>42</v>
      </c>
      <c r="E987" t="s">
        <v>43</v>
      </c>
      <c r="F987" t="s">
        <v>33</v>
      </c>
      <c r="G987" t="s">
        <v>31</v>
      </c>
      <c r="H987">
        <v>5</v>
      </c>
      <c r="I987">
        <v>7500</v>
      </c>
    </row>
    <row r="988" spans="1:9" x14ac:dyDescent="0.3">
      <c r="A988" s="1">
        <v>46070</v>
      </c>
      <c r="B988">
        <v>2026</v>
      </c>
      <c r="C988">
        <v>2</v>
      </c>
      <c r="D988" t="s">
        <v>50</v>
      </c>
      <c r="E988" t="s">
        <v>41</v>
      </c>
      <c r="F988" t="s">
        <v>33</v>
      </c>
      <c r="G988" t="s">
        <v>31</v>
      </c>
      <c r="H988">
        <v>1</v>
      </c>
      <c r="I988">
        <v>1500</v>
      </c>
    </row>
    <row r="989" spans="1:9" x14ac:dyDescent="0.3">
      <c r="A989" s="1">
        <v>46035</v>
      </c>
      <c r="B989">
        <v>2026</v>
      </c>
      <c r="C989">
        <v>1</v>
      </c>
      <c r="D989" t="s">
        <v>46</v>
      </c>
      <c r="E989" t="s">
        <v>47</v>
      </c>
      <c r="F989" t="s">
        <v>33</v>
      </c>
      <c r="G989" t="s">
        <v>31</v>
      </c>
      <c r="H989">
        <v>4</v>
      </c>
      <c r="I989">
        <v>6000</v>
      </c>
    </row>
    <row r="990" spans="1:9" x14ac:dyDescent="0.3">
      <c r="A990" s="1">
        <v>46164</v>
      </c>
      <c r="B990">
        <v>2026</v>
      </c>
      <c r="C990">
        <v>5</v>
      </c>
      <c r="D990" t="s">
        <v>40</v>
      </c>
      <c r="E990" t="s">
        <v>41</v>
      </c>
      <c r="F990" t="s">
        <v>33</v>
      </c>
      <c r="G990" t="s">
        <v>31</v>
      </c>
      <c r="H990">
        <v>4</v>
      </c>
      <c r="I990">
        <v>6000</v>
      </c>
    </row>
    <row r="991" spans="1:9" x14ac:dyDescent="0.3">
      <c r="A991" s="1">
        <v>46146</v>
      </c>
      <c r="B991">
        <v>2026</v>
      </c>
      <c r="C991">
        <v>5</v>
      </c>
      <c r="D991" t="s">
        <v>44</v>
      </c>
      <c r="E991" t="s">
        <v>45</v>
      </c>
      <c r="F991" t="s">
        <v>33</v>
      </c>
      <c r="G991" t="s">
        <v>31</v>
      </c>
      <c r="H991">
        <v>4</v>
      </c>
      <c r="I991">
        <v>6000</v>
      </c>
    </row>
    <row r="992" spans="1:9" x14ac:dyDescent="0.3">
      <c r="A992" s="1">
        <v>46227</v>
      </c>
      <c r="B992">
        <v>2026</v>
      </c>
      <c r="C992">
        <v>7</v>
      </c>
      <c r="D992" t="s">
        <v>48</v>
      </c>
      <c r="E992" t="s">
        <v>43</v>
      </c>
      <c r="F992" t="s">
        <v>33</v>
      </c>
      <c r="G992" t="s">
        <v>31</v>
      </c>
      <c r="H992">
        <v>5</v>
      </c>
      <c r="I992">
        <v>7500</v>
      </c>
    </row>
    <row r="993" spans="1:9" x14ac:dyDescent="0.3">
      <c r="A993" s="1">
        <v>46276</v>
      </c>
      <c r="B993">
        <v>2026</v>
      </c>
      <c r="C993">
        <v>9</v>
      </c>
      <c r="D993" t="s">
        <v>46</v>
      </c>
      <c r="E993" t="s">
        <v>47</v>
      </c>
      <c r="F993" t="s">
        <v>33</v>
      </c>
      <c r="G993" t="s">
        <v>31</v>
      </c>
      <c r="H993">
        <v>3</v>
      </c>
      <c r="I993">
        <v>4500</v>
      </c>
    </row>
    <row r="994" spans="1:9" x14ac:dyDescent="0.3">
      <c r="A994" s="1">
        <v>46307</v>
      </c>
      <c r="B994">
        <v>2026</v>
      </c>
      <c r="C994">
        <v>10</v>
      </c>
      <c r="D994" t="s">
        <v>50</v>
      </c>
      <c r="E994" t="s">
        <v>41</v>
      </c>
      <c r="F994" t="s">
        <v>33</v>
      </c>
      <c r="G994" t="s">
        <v>31</v>
      </c>
      <c r="H994">
        <v>4</v>
      </c>
      <c r="I994">
        <v>6000</v>
      </c>
    </row>
    <row r="995" spans="1:9" x14ac:dyDescent="0.3">
      <c r="A995" s="1">
        <v>46076</v>
      </c>
      <c r="B995">
        <v>2026</v>
      </c>
      <c r="C995">
        <v>2</v>
      </c>
      <c r="D995" t="s">
        <v>48</v>
      </c>
      <c r="E995" t="s">
        <v>43</v>
      </c>
      <c r="F995" t="s">
        <v>33</v>
      </c>
      <c r="G995" t="s">
        <v>31</v>
      </c>
      <c r="H995">
        <v>4</v>
      </c>
      <c r="I995">
        <v>6000</v>
      </c>
    </row>
    <row r="996" spans="1:9" x14ac:dyDescent="0.3">
      <c r="A996" s="1">
        <v>46131</v>
      </c>
      <c r="B996">
        <v>2026</v>
      </c>
      <c r="C996">
        <v>4</v>
      </c>
      <c r="D996" t="s">
        <v>50</v>
      </c>
      <c r="E996" t="s">
        <v>41</v>
      </c>
      <c r="F996" t="s">
        <v>33</v>
      </c>
      <c r="G996" t="s">
        <v>31</v>
      </c>
      <c r="H996">
        <v>2</v>
      </c>
      <c r="I996">
        <v>3000</v>
      </c>
    </row>
    <row r="997" spans="1:9" x14ac:dyDescent="0.3">
      <c r="A997" s="1">
        <v>46036</v>
      </c>
      <c r="B997">
        <v>2026</v>
      </c>
      <c r="C997">
        <v>1</v>
      </c>
      <c r="D997" t="s">
        <v>42</v>
      </c>
      <c r="E997" t="s">
        <v>43</v>
      </c>
      <c r="F997" t="s">
        <v>33</v>
      </c>
      <c r="G997" t="s">
        <v>31</v>
      </c>
      <c r="H997">
        <v>2</v>
      </c>
      <c r="I997">
        <v>3000</v>
      </c>
    </row>
    <row r="998" spans="1:9" x14ac:dyDescent="0.3">
      <c r="A998" s="1">
        <v>46035</v>
      </c>
      <c r="B998">
        <v>2026</v>
      </c>
      <c r="C998">
        <v>1</v>
      </c>
      <c r="D998" t="s">
        <v>49</v>
      </c>
      <c r="E998" t="s">
        <v>47</v>
      </c>
      <c r="F998" t="s">
        <v>33</v>
      </c>
      <c r="G998" t="s">
        <v>31</v>
      </c>
      <c r="H998">
        <v>2</v>
      </c>
      <c r="I998">
        <v>3000</v>
      </c>
    </row>
    <row r="999" spans="1:9" x14ac:dyDescent="0.3">
      <c r="A999" s="1">
        <v>46054</v>
      </c>
      <c r="B999">
        <v>2026</v>
      </c>
      <c r="C999">
        <v>2</v>
      </c>
      <c r="D999" t="s">
        <v>44</v>
      </c>
      <c r="E999" t="s">
        <v>45</v>
      </c>
      <c r="F999" t="s">
        <v>33</v>
      </c>
      <c r="G999" t="s">
        <v>31</v>
      </c>
      <c r="H999">
        <v>2</v>
      </c>
      <c r="I999">
        <v>3000</v>
      </c>
    </row>
    <row r="1000" spans="1:9" x14ac:dyDescent="0.3">
      <c r="A1000" s="1">
        <v>46106</v>
      </c>
      <c r="B1000">
        <v>2026</v>
      </c>
      <c r="C1000">
        <v>3</v>
      </c>
      <c r="D1000" t="s">
        <v>51</v>
      </c>
      <c r="E1000" t="s">
        <v>45</v>
      </c>
      <c r="F1000" t="s">
        <v>33</v>
      </c>
      <c r="G1000" t="s">
        <v>31</v>
      </c>
      <c r="H1000">
        <v>3</v>
      </c>
      <c r="I1000">
        <v>4500</v>
      </c>
    </row>
    <row r="1001" spans="1:9" x14ac:dyDescent="0.3">
      <c r="A1001" s="1">
        <v>46139</v>
      </c>
      <c r="B1001">
        <v>2026</v>
      </c>
      <c r="C1001">
        <v>4</v>
      </c>
      <c r="D1001" t="s">
        <v>50</v>
      </c>
      <c r="E1001" t="s">
        <v>41</v>
      </c>
      <c r="F1001" t="s">
        <v>33</v>
      </c>
      <c r="G1001" t="s">
        <v>31</v>
      </c>
      <c r="H1001">
        <v>1</v>
      </c>
      <c r="I1001">
        <v>1500</v>
      </c>
    </row>
    <row r="1002" spans="1:9" x14ac:dyDescent="0.3">
      <c r="A1002" s="1">
        <v>46214</v>
      </c>
      <c r="B1002">
        <v>2026</v>
      </c>
      <c r="C1002">
        <v>7</v>
      </c>
      <c r="D1002" t="s">
        <v>44</v>
      </c>
      <c r="E1002" t="s">
        <v>45</v>
      </c>
      <c r="F1002" t="s">
        <v>33</v>
      </c>
      <c r="G1002" t="s">
        <v>31</v>
      </c>
      <c r="H1002">
        <v>5</v>
      </c>
      <c r="I1002">
        <v>7500</v>
      </c>
    </row>
    <row r="1003" spans="1:9" x14ac:dyDescent="0.3">
      <c r="A1003" s="1">
        <v>46041</v>
      </c>
      <c r="B1003">
        <v>2026</v>
      </c>
      <c r="C1003">
        <v>1</v>
      </c>
      <c r="D1003" t="s">
        <v>44</v>
      </c>
      <c r="E1003" t="s">
        <v>45</v>
      </c>
      <c r="F1003" t="s">
        <v>33</v>
      </c>
      <c r="G1003" t="s">
        <v>31</v>
      </c>
      <c r="H1003">
        <v>1</v>
      </c>
      <c r="I1003">
        <v>1500</v>
      </c>
    </row>
    <row r="1004" spans="1:9" x14ac:dyDescent="0.3">
      <c r="A1004" s="1">
        <v>46324</v>
      </c>
      <c r="B1004">
        <v>2026</v>
      </c>
      <c r="C1004">
        <v>10</v>
      </c>
      <c r="D1004" t="s">
        <v>46</v>
      </c>
      <c r="E1004" t="s">
        <v>47</v>
      </c>
      <c r="F1004" t="s">
        <v>33</v>
      </c>
      <c r="G1004" t="s">
        <v>31</v>
      </c>
      <c r="H1004">
        <v>4</v>
      </c>
      <c r="I1004">
        <v>6000</v>
      </c>
    </row>
    <row r="1005" spans="1:9" x14ac:dyDescent="0.3">
      <c r="A1005" s="1">
        <v>46179</v>
      </c>
      <c r="B1005">
        <v>2026</v>
      </c>
      <c r="C1005">
        <v>6</v>
      </c>
      <c r="D1005" t="s">
        <v>40</v>
      </c>
      <c r="E1005" t="s">
        <v>41</v>
      </c>
      <c r="F1005" t="s">
        <v>33</v>
      </c>
      <c r="G1005" t="s">
        <v>31</v>
      </c>
      <c r="H1005">
        <v>3</v>
      </c>
      <c r="I1005">
        <v>4500</v>
      </c>
    </row>
    <row r="1006" spans="1:9" x14ac:dyDescent="0.3">
      <c r="A1006" s="1">
        <v>46292</v>
      </c>
      <c r="B1006">
        <v>2026</v>
      </c>
      <c r="C1006">
        <v>9</v>
      </c>
      <c r="D1006" t="s">
        <v>49</v>
      </c>
      <c r="E1006" t="s">
        <v>47</v>
      </c>
      <c r="F1006" t="s">
        <v>33</v>
      </c>
      <c r="G1006" t="s">
        <v>31</v>
      </c>
      <c r="H1006">
        <v>1</v>
      </c>
      <c r="I1006">
        <v>1500</v>
      </c>
    </row>
    <row r="1007" spans="1:9" x14ac:dyDescent="0.3">
      <c r="A1007" s="1">
        <v>46273</v>
      </c>
      <c r="B1007">
        <v>2026</v>
      </c>
      <c r="C1007">
        <v>9</v>
      </c>
      <c r="D1007" t="s">
        <v>49</v>
      </c>
      <c r="E1007" t="s">
        <v>47</v>
      </c>
      <c r="F1007" t="s">
        <v>33</v>
      </c>
      <c r="G1007" t="s">
        <v>31</v>
      </c>
      <c r="H1007">
        <v>2</v>
      </c>
      <c r="I1007">
        <v>3000</v>
      </c>
    </row>
    <row r="1008" spans="1:9" x14ac:dyDescent="0.3">
      <c r="A1008" s="1">
        <v>46176</v>
      </c>
      <c r="B1008">
        <v>2026</v>
      </c>
      <c r="C1008">
        <v>6</v>
      </c>
      <c r="D1008" t="s">
        <v>42</v>
      </c>
      <c r="E1008" t="s">
        <v>43</v>
      </c>
      <c r="F1008" t="s">
        <v>33</v>
      </c>
      <c r="G1008" t="s">
        <v>31</v>
      </c>
      <c r="H1008">
        <v>5</v>
      </c>
      <c r="I1008">
        <v>7500</v>
      </c>
    </row>
    <row r="1009" spans="1:9" x14ac:dyDescent="0.3">
      <c r="A1009" s="1">
        <v>46285</v>
      </c>
      <c r="B1009">
        <v>2026</v>
      </c>
      <c r="C1009">
        <v>9</v>
      </c>
      <c r="D1009" t="s">
        <v>46</v>
      </c>
      <c r="E1009" t="s">
        <v>47</v>
      </c>
      <c r="F1009" t="s">
        <v>33</v>
      </c>
      <c r="G1009" t="s">
        <v>31</v>
      </c>
      <c r="H1009">
        <v>1</v>
      </c>
      <c r="I1009">
        <v>1500</v>
      </c>
    </row>
    <row r="1010" spans="1:9" x14ac:dyDescent="0.3">
      <c r="A1010" s="1">
        <v>46025</v>
      </c>
      <c r="B1010">
        <v>2026</v>
      </c>
      <c r="C1010">
        <v>1</v>
      </c>
      <c r="D1010" t="s">
        <v>51</v>
      </c>
      <c r="E1010" t="s">
        <v>45</v>
      </c>
      <c r="F1010" t="s">
        <v>33</v>
      </c>
      <c r="G1010" t="s">
        <v>31</v>
      </c>
      <c r="H1010">
        <v>4</v>
      </c>
      <c r="I1010">
        <v>6000</v>
      </c>
    </row>
    <row r="1011" spans="1:9" x14ac:dyDescent="0.3">
      <c r="A1011" s="1">
        <v>46277</v>
      </c>
      <c r="B1011">
        <v>2026</v>
      </c>
      <c r="C1011">
        <v>9</v>
      </c>
      <c r="D1011" t="s">
        <v>48</v>
      </c>
      <c r="E1011" t="s">
        <v>43</v>
      </c>
      <c r="F1011" t="s">
        <v>33</v>
      </c>
      <c r="G1011" t="s">
        <v>31</v>
      </c>
      <c r="H1011">
        <v>4</v>
      </c>
      <c r="I1011">
        <v>6000</v>
      </c>
    </row>
    <row r="1012" spans="1:9" x14ac:dyDescent="0.3">
      <c r="A1012" s="1">
        <v>46024</v>
      </c>
      <c r="B1012">
        <v>2026</v>
      </c>
      <c r="C1012">
        <v>1</v>
      </c>
      <c r="D1012" t="s">
        <v>46</v>
      </c>
      <c r="E1012" t="s">
        <v>47</v>
      </c>
      <c r="F1012" t="s">
        <v>33</v>
      </c>
      <c r="G1012" t="s">
        <v>31</v>
      </c>
      <c r="H1012">
        <v>5</v>
      </c>
      <c r="I1012">
        <v>7500</v>
      </c>
    </row>
    <row r="1013" spans="1:9" x14ac:dyDescent="0.3">
      <c r="A1013" s="1">
        <v>46072</v>
      </c>
      <c r="B1013">
        <v>2026</v>
      </c>
      <c r="C1013">
        <v>2</v>
      </c>
      <c r="D1013" t="s">
        <v>40</v>
      </c>
      <c r="E1013" t="s">
        <v>41</v>
      </c>
      <c r="F1013" t="s">
        <v>33</v>
      </c>
      <c r="G1013" t="s">
        <v>31</v>
      </c>
      <c r="H1013">
        <v>2</v>
      </c>
      <c r="I1013">
        <v>3000</v>
      </c>
    </row>
    <row r="1014" spans="1:9" x14ac:dyDescent="0.3">
      <c r="A1014" s="1">
        <v>46214</v>
      </c>
      <c r="B1014">
        <v>2026</v>
      </c>
      <c r="C1014">
        <v>7</v>
      </c>
      <c r="D1014" t="s">
        <v>48</v>
      </c>
      <c r="E1014" t="s">
        <v>43</v>
      </c>
      <c r="F1014" t="s">
        <v>33</v>
      </c>
      <c r="G1014" t="s">
        <v>31</v>
      </c>
      <c r="H1014">
        <v>1</v>
      </c>
      <c r="I1014">
        <v>1500</v>
      </c>
    </row>
    <row r="1015" spans="1:9" x14ac:dyDescent="0.3">
      <c r="A1015" s="1">
        <v>46253</v>
      </c>
      <c r="B1015">
        <v>2026</v>
      </c>
      <c r="C1015">
        <v>8</v>
      </c>
      <c r="D1015" t="s">
        <v>49</v>
      </c>
      <c r="E1015" t="s">
        <v>47</v>
      </c>
      <c r="F1015" t="s">
        <v>33</v>
      </c>
      <c r="G1015" t="s">
        <v>31</v>
      </c>
      <c r="H1015">
        <v>4</v>
      </c>
      <c r="I1015">
        <v>6000</v>
      </c>
    </row>
    <row r="1016" spans="1:9" x14ac:dyDescent="0.3">
      <c r="A1016" s="1">
        <v>46094</v>
      </c>
      <c r="B1016">
        <v>2026</v>
      </c>
      <c r="C1016">
        <v>3</v>
      </c>
      <c r="D1016" t="s">
        <v>49</v>
      </c>
      <c r="E1016" t="s">
        <v>47</v>
      </c>
      <c r="F1016" t="s">
        <v>33</v>
      </c>
      <c r="G1016" t="s">
        <v>31</v>
      </c>
      <c r="H1016">
        <v>2</v>
      </c>
      <c r="I1016">
        <v>3000</v>
      </c>
    </row>
    <row r="1017" spans="1:9" x14ac:dyDescent="0.3">
      <c r="A1017" s="1">
        <v>46249</v>
      </c>
      <c r="B1017">
        <v>2026</v>
      </c>
      <c r="C1017">
        <v>8</v>
      </c>
      <c r="D1017" t="s">
        <v>49</v>
      </c>
      <c r="E1017" t="s">
        <v>47</v>
      </c>
      <c r="F1017" t="s">
        <v>24</v>
      </c>
      <c r="G1017" t="s">
        <v>23</v>
      </c>
      <c r="H1017">
        <v>3</v>
      </c>
      <c r="I1017">
        <v>54000</v>
      </c>
    </row>
    <row r="1018" spans="1:9" x14ac:dyDescent="0.3">
      <c r="A1018" s="1">
        <v>46247</v>
      </c>
      <c r="B1018">
        <v>2026</v>
      </c>
      <c r="C1018">
        <v>8</v>
      </c>
      <c r="D1018" t="s">
        <v>49</v>
      </c>
      <c r="E1018" t="s">
        <v>47</v>
      </c>
      <c r="F1018" t="s">
        <v>24</v>
      </c>
      <c r="G1018" t="s">
        <v>23</v>
      </c>
      <c r="H1018">
        <v>2</v>
      </c>
      <c r="I1018">
        <v>36000</v>
      </c>
    </row>
    <row r="1019" spans="1:9" x14ac:dyDescent="0.3">
      <c r="A1019" s="1">
        <v>46054</v>
      </c>
      <c r="B1019">
        <v>2026</v>
      </c>
      <c r="C1019">
        <v>2</v>
      </c>
      <c r="D1019" t="s">
        <v>42</v>
      </c>
      <c r="E1019" t="s">
        <v>43</v>
      </c>
      <c r="F1019" t="s">
        <v>24</v>
      </c>
      <c r="G1019" t="s">
        <v>23</v>
      </c>
      <c r="H1019">
        <v>2</v>
      </c>
      <c r="I1019">
        <v>36000</v>
      </c>
    </row>
    <row r="1020" spans="1:9" x14ac:dyDescent="0.3">
      <c r="A1020" s="1">
        <v>46103</v>
      </c>
      <c r="B1020">
        <v>2026</v>
      </c>
      <c r="C1020">
        <v>3</v>
      </c>
      <c r="D1020" t="s">
        <v>42</v>
      </c>
      <c r="E1020" t="s">
        <v>43</v>
      </c>
      <c r="F1020" t="s">
        <v>24</v>
      </c>
      <c r="G1020" t="s">
        <v>23</v>
      </c>
      <c r="H1020">
        <v>1</v>
      </c>
      <c r="I1020">
        <v>18000</v>
      </c>
    </row>
    <row r="1021" spans="1:9" x14ac:dyDescent="0.3">
      <c r="A1021" s="1">
        <v>46035</v>
      </c>
      <c r="B1021">
        <v>2026</v>
      </c>
      <c r="C1021">
        <v>1</v>
      </c>
      <c r="D1021" t="s">
        <v>51</v>
      </c>
      <c r="E1021" t="s">
        <v>45</v>
      </c>
      <c r="F1021" t="s">
        <v>24</v>
      </c>
      <c r="G1021" t="s">
        <v>23</v>
      </c>
      <c r="H1021">
        <v>3</v>
      </c>
      <c r="I1021">
        <v>54000</v>
      </c>
    </row>
    <row r="1022" spans="1:9" x14ac:dyDescent="0.3">
      <c r="A1022" s="1">
        <v>46181</v>
      </c>
      <c r="B1022">
        <v>2026</v>
      </c>
      <c r="C1022">
        <v>6</v>
      </c>
      <c r="D1022" t="s">
        <v>42</v>
      </c>
      <c r="E1022" t="s">
        <v>43</v>
      </c>
      <c r="F1022" t="s">
        <v>24</v>
      </c>
      <c r="G1022" t="s">
        <v>23</v>
      </c>
      <c r="H1022">
        <v>5</v>
      </c>
      <c r="I1022">
        <v>90000</v>
      </c>
    </row>
    <row r="1023" spans="1:9" x14ac:dyDescent="0.3">
      <c r="A1023" s="1">
        <v>46272</v>
      </c>
      <c r="B1023">
        <v>2026</v>
      </c>
      <c r="C1023">
        <v>9</v>
      </c>
      <c r="D1023" t="s">
        <v>48</v>
      </c>
      <c r="E1023" t="s">
        <v>43</v>
      </c>
      <c r="F1023" t="s">
        <v>24</v>
      </c>
      <c r="G1023" t="s">
        <v>23</v>
      </c>
      <c r="H1023">
        <v>1</v>
      </c>
      <c r="I1023">
        <v>18000</v>
      </c>
    </row>
    <row r="1024" spans="1:9" x14ac:dyDescent="0.3">
      <c r="A1024" s="1">
        <v>46219</v>
      </c>
      <c r="B1024">
        <v>2026</v>
      </c>
      <c r="C1024">
        <v>7</v>
      </c>
      <c r="D1024" t="s">
        <v>49</v>
      </c>
      <c r="E1024" t="s">
        <v>47</v>
      </c>
      <c r="F1024" t="s">
        <v>24</v>
      </c>
      <c r="G1024" t="s">
        <v>23</v>
      </c>
      <c r="H1024">
        <v>2</v>
      </c>
      <c r="I1024">
        <v>36000</v>
      </c>
    </row>
    <row r="1025" spans="1:9" x14ac:dyDescent="0.3">
      <c r="A1025" s="1">
        <v>46064</v>
      </c>
      <c r="B1025">
        <v>2026</v>
      </c>
      <c r="C1025">
        <v>2</v>
      </c>
      <c r="D1025" t="s">
        <v>49</v>
      </c>
      <c r="E1025" t="s">
        <v>47</v>
      </c>
      <c r="F1025" t="s">
        <v>24</v>
      </c>
      <c r="G1025" t="s">
        <v>23</v>
      </c>
      <c r="H1025">
        <v>2</v>
      </c>
      <c r="I1025">
        <v>36000</v>
      </c>
    </row>
    <row r="1026" spans="1:9" x14ac:dyDescent="0.3">
      <c r="A1026" s="1">
        <v>46150</v>
      </c>
      <c r="B1026">
        <v>2026</v>
      </c>
      <c r="C1026">
        <v>5</v>
      </c>
      <c r="D1026" t="s">
        <v>42</v>
      </c>
      <c r="E1026" t="s">
        <v>43</v>
      </c>
      <c r="F1026" t="s">
        <v>24</v>
      </c>
      <c r="G1026" t="s">
        <v>23</v>
      </c>
      <c r="H1026">
        <v>2</v>
      </c>
      <c r="I1026">
        <v>36000</v>
      </c>
    </row>
    <row r="1027" spans="1:9" x14ac:dyDescent="0.3">
      <c r="A1027" s="1">
        <v>46050</v>
      </c>
      <c r="B1027">
        <v>2026</v>
      </c>
      <c r="C1027">
        <v>1</v>
      </c>
      <c r="D1027" t="s">
        <v>48</v>
      </c>
      <c r="E1027" t="s">
        <v>43</v>
      </c>
      <c r="F1027" t="s">
        <v>24</v>
      </c>
      <c r="G1027" t="s">
        <v>23</v>
      </c>
      <c r="H1027">
        <v>2</v>
      </c>
      <c r="I1027">
        <v>36000</v>
      </c>
    </row>
    <row r="1028" spans="1:9" x14ac:dyDescent="0.3">
      <c r="A1028" s="1">
        <v>46046</v>
      </c>
      <c r="B1028">
        <v>2026</v>
      </c>
      <c r="C1028">
        <v>1</v>
      </c>
      <c r="D1028" t="s">
        <v>46</v>
      </c>
      <c r="E1028" t="s">
        <v>47</v>
      </c>
      <c r="F1028" t="s">
        <v>24</v>
      </c>
      <c r="G1028" t="s">
        <v>23</v>
      </c>
      <c r="H1028">
        <v>1</v>
      </c>
      <c r="I1028">
        <v>18000</v>
      </c>
    </row>
    <row r="1029" spans="1:9" x14ac:dyDescent="0.3">
      <c r="A1029" s="1">
        <v>46203</v>
      </c>
      <c r="B1029">
        <v>2026</v>
      </c>
      <c r="C1029">
        <v>6</v>
      </c>
      <c r="D1029" t="s">
        <v>42</v>
      </c>
      <c r="E1029" t="s">
        <v>43</v>
      </c>
      <c r="F1029" t="s">
        <v>24</v>
      </c>
      <c r="G1029" t="s">
        <v>23</v>
      </c>
      <c r="H1029">
        <v>2</v>
      </c>
      <c r="I1029">
        <v>36000</v>
      </c>
    </row>
    <row r="1030" spans="1:9" x14ac:dyDescent="0.3">
      <c r="A1030" s="1">
        <v>46221</v>
      </c>
      <c r="B1030">
        <v>2026</v>
      </c>
      <c r="C1030">
        <v>7</v>
      </c>
      <c r="D1030" t="s">
        <v>50</v>
      </c>
      <c r="E1030" t="s">
        <v>41</v>
      </c>
      <c r="F1030" t="s">
        <v>24</v>
      </c>
      <c r="G1030" t="s">
        <v>23</v>
      </c>
      <c r="H1030">
        <v>3</v>
      </c>
      <c r="I1030">
        <v>54000</v>
      </c>
    </row>
    <row r="1031" spans="1:9" x14ac:dyDescent="0.3">
      <c r="A1031" s="1">
        <v>46117</v>
      </c>
      <c r="B1031">
        <v>2026</v>
      </c>
      <c r="C1031">
        <v>4</v>
      </c>
      <c r="D1031" t="s">
        <v>48</v>
      </c>
      <c r="E1031" t="s">
        <v>43</v>
      </c>
      <c r="F1031" t="s">
        <v>24</v>
      </c>
      <c r="G1031" t="s">
        <v>23</v>
      </c>
      <c r="H1031">
        <v>3</v>
      </c>
      <c r="I1031">
        <v>54000</v>
      </c>
    </row>
    <row r="1032" spans="1:9" x14ac:dyDescent="0.3">
      <c r="A1032" s="1">
        <v>46050</v>
      </c>
      <c r="B1032">
        <v>2026</v>
      </c>
      <c r="C1032">
        <v>1</v>
      </c>
      <c r="D1032" t="s">
        <v>44</v>
      </c>
      <c r="E1032" t="s">
        <v>45</v>
      </c>
      <c r="F1032" t="s">
        <v>24</v>
      </c>
      <c r="G1032" t="s">
        <v>23</v>
      </c>
      <c r="H1032">
        <v>2</v>
      </c>
      <c r="I1032">
        <v>36000</v>
      </c>
    </row>
    <row r="1033" spans="1:9" x14ac:dyDescent="0.3">
      <c r="A1033" s="1">
        <v>46309</v>
      </c>
      <c r="B1033">
        <v>2026</v>
      </c>
      <c r="C1033">
        <v>10</v>
      </c>
      <c r="D1033" t="s">
        <v>42</v>
      </c>
      <c r="E1033" t="s">
        <v>43</v>
      </c>
      <c r="F1033" t="s">
        <v>24</v>
      </c>
      <c r="G1033" t="s">
        <v>23</v>
      </c>
      <c r="H1033">
        <v>3</v>
      </c>
      <c r="I1033">
        <v>54000</v>
      </c>
    </row>
    <row r="1034" spans="1:9" x14ac:dyDescent="0.3">
      <c r="A1034" s="1">
        <v>46261</v>
      </c>
      <c r="B1034">
        <v>2026</v>
      </c>
      <c r="C1034">
        <v>8</v>
      </c>
      <c r="D1034" t="s">
        <v>51</v>
      </c>
      <c r="E1034" t="s">
        <v>45</v>
      </c>
      <c r="F1034" t="s">
        <v>24</v>
      </c>
      <c r="G1034" t="s">
        <v>23</v>
      </c>
      <c r="H1034">
        <v>3</v>
      </c>
      <c r="I1034">
        <v>54000</v>
      </c>
    </row>
    <row r="1035" spans="1:9" x14ac:dyDescent="0.3">
      <c r="A1035" s="1">
        <v>46154</v>
      </c>
      <c r="B1035">
        <v>2026</v>
      </c>
      <c r="C1035">
        <v>5</v>
      </c>
      <c r="D1035" t="s">
        <v>40</v>
      </c>
      <c r="E1035" t="s">
        <v>41</v>
      </c>
      <c r="F1035" t="s">
        <v>24</v>
      </c>
      <c r="G1035" t="s">
        <v>23</v>
      </c>
      <c r="H1035">
        <v>2</v>
      </c>
      <c r="I1035">
        <v>36000</v>
      </c>
    </row>
    <row r="1036" spans="1:9" x14ac:dyDescent="0.3">
      <c r="A1036" s="1">
        <v>46202</v>
      </c>
      <c r="B1036">
        <v>2026</v>
      </c>
      <c r="C1036">
        <v>6</v>
      </c>
      <c r="D1036" t="s">
        <v>46</v>
      </c>
      <c r="E1036" t="s">
        <v>47</v>
      </c>
      <c r="F1036" t="s">
        <v>24</v>
      </c>
      <c r="G1036" t="s">
        <v>23</v>
      </c>
      <c r="H1036">
        <v>5</v>
      </c>
      <c r="I1036">
        <v>90000</v>
      </c>
    </row>
    <row r="1037" spans="1:9" x14ac:dyDescent="0.3">
      <c r="A1037" s="1">
        <v>46293</v>
      </c>
      <c r="B1037">
        <v>2026</v>
      </c>
      <c r="C1037">
        <v>9</v>
      </c>
      <c r="D1037" t="s">
        <v>42</v>
      </c>
      <c r="E1037" t="s">
        <v>43</v>
      </c>
      <c r="F1037" t="s">
        <v>24</v>
      </c>
      <c r="G1037" t="s">
        <v>23</v>
      </c>
      <c r="H1037">
        <v>5</v>
      </c>
      <c r="I1037">
        <v>90000</v>
      </c>
    </row>
    <row r="1038" spans="1:9" x14ac:dyDescent="0.3">
      <c r="A1038" s="1">
        <v>46118</v>
      </c>
      <c r="B1038">
        <v>2026</v>
      </c>
      <c r="C1038">
        <v>4</v>
      </c>
      <c r="D1038" t="s">
        <v>40</v>
      </c>
      <c r="E1038" t="s">
        <v>41</v>
      </c>
      <c r="F1038" t="s">
        <v>24</v>
      </c>
      <c r="G1038" t="s">
        <v>23</v>
      </c>
      <c r="H1038">
        <v>5</v>
      </c>
      <c r="I1038">
        <v>90000</v>
      </c>
    </row>
    <row r="1039" spans="1:9" x14ac:dyDescent="0.3">
      <c r="A1039" s="1">
        <v>46274</v>
      </c>
      <c r="B1039">
        <v>2026</v>
      </c>
      <c r="C1039">
        <v>9</v>
      </c>
      <c r="D1039" t="s">
        <v>48</v>
      </c>
      <c r="E1039" t="s">
        <v>43</v>
      </c>
      <c r="F1039" t="s">
        <v>24</v>
      </c>
      <c r="G1039" t="s">
        <v>23</v>
      </c>
      <c r="H1039">
        <v>5</v>
      </c>
      <c r="I1039">
        <v>90000</v>
      </c>
    </row>
    <row r="1040" spans="1:9" x14ac:dyDescent="0.3">
      <c r="A1040" s="1">
        <v>46284</v>
      </c>
      <c r="B1040">
        <v>2026</v>
      </c>
      <c r="C1040">
        <v>9</v>
      </c>
      <c r="D1040" t="s">
        <v>50</v>
      </c>
      <c r="E1040" t="s">
        <v>41</v>
      </c>
      <c r="F1040" t="s">
        <v>24</v>
      </c>
      <c r="G1040" t="s">
        <v>23</v>
      </c>
      <c r="H1040">
        <v>5</v>
      </c>
      <c r="I1040">
        <v>90000</v>
      </c>
    </row>
    <row r="1041" spans="1:9" x14ac:dyDescent="0.3">
      <c r="A1041" s="1">
        <v>46272</v>
      </c>
      <c r="B1041">
        <v>2026</v>
      </c>
      <c r="C1041">
        <v>9</v>
      </c>
      <c r="D1041" t="s">
        <v>50</v>
      </c>
      <c r="E1041" t="s">
        <v>41</v>
      </c>
      <c r="F1041" t="s">
        <v>24</v>
      </c>
      <c r="G1041" t="s">
        <v>23</v>
      </c>
      <c r="H1041">
        <v>3</v>
      </c>
      <c r="I1041">
        <v>54000</v>
      </c>
    </row>
    <row r="1042" spans="1:9" x14ac:dyDescent="0.3">
      <c r="A1042" s="1">
        <v>46093</v>
      </c>
      <c r="B1042">
        <v>2026</v>
      </c>
      <c r="C1042">
        <v>3</v>
      </c>
      <c r="D1042" t="s">
        <v>42</v>
      </c>
      <c r="E1042" t="s">
        <v>43</v>
      </c>
      <c r="F1042" t="s">
        <v>24</v>
      </c>
      <c r="G1042" t="s">
        <v>23</v>
      </c>
      <c r="H1042">
        <v>1</v>
      </c>
      <c r="I1042">
        <v>18000</v>
      </c>
    </row>
    <row r="1043" spans="1:9" x14ac:dyDescent="0.3">
      <c r="A1043" s="1">
        <v>46196</v>
      </c>
      <c r="B1043">
        <v>2026</v>
      </c>
      <c r="C1043">
        <v>6</v>
      </c>
      <c r="D1043" t="s">
        <v>51</v>
      </c>
      <c r="E1043" t="s">
        <v>45</v>
      </c>
      <c r="F1043" t="s">
        <v>24</v>
      </c>
      <c r="G1043" t="s">
        <v>23</v>
      </c>
      <c r="H1043">
        <v>3</v>
      </c>
      <c r="I1043">
        <v>54000</v>
      </c>
    </row>
    <row r="1044" spans="1:9" x14ac:dyDescent="0.3">
      <c r="A1044" s="1">
        <v>46303</v>
      </c>
      <c r="B1044">
        <v>2026</v>
      </c>
      <c r="C1044">
        <v>10</v>
      </c>
      <c r="D1044" t="s">
        <v>42</v>
      </c>
      <c r="E1044" t="s">
        <v>43</v>
      </c>
      <c r="F1044" t="s">
        <v>24</v>
      </c>
      <c r="G1044" t="s">
        <v>23</v>
      </c>
      <c r="H1044">
        <v>4</v>
      </c>
      <c r="I1044">
        <v>72000</v>
      </c>
    </row>
    <row r="1045" spans="1:9" x14ac:dyDescent="0.3">
      <c r="A1045" s="1">
        <v>46190</v>
      </c>
      <c r="B1045">
        <v>2026</v>
      </c>
      <c r="C1045">
        <v>6</v>
      </c>
      <c r="D1045" t="s">
        <v>49</v>
      </c>
      <c r="E1045" t="s">
        <v>47</v>
      </c>
      <c r="F1045" t="s">
        <v>24</v>
      </c>
      <c r="G1045" t="s">
        <v>23</v>
      </c>
      <c r="H1045">
        <v>3</v>
      </c>
      <c r="I1045">
        <v>54000</v>
      </c>
    </row>
    <row r="1046" spans="1:9" x14ac:dyDescent="0.3">
      <c r="A1046" s="1">
        <v>46151</v>
      </c>
      <c r="B1046">
        <v>2026</v>
      </c>
      <c r="C1046">
        <v>5</v>
      </c>
      <c r="D1046" t="s">
        <v>40</v>
      </c>
      <c r="E1046" t="s">
        <v>41</v>
      </c>
      <c r="F1046" t="s">
        <v>24</v>
      </c>
      <c r="G1046" t="s">
        <v>23</v>
      </c>
      <c r="H1046">
        <v>2</v>
      </c>
      <c r="I1046">
        <v>36000</v>
      </c>
    </row>
    <row r="1047" spans="1:9" x14ac:dyDescent="0.3">
      <c r="A1047" s="1">
        <v>46135</v>
      </c>
      <c r="B1047">
        <v>2026</v>
      </c>
      <c r="C1047">
        <v>4</v>
      </c>
      <c r="D1047" t="s">
        <v>50</v>
      </c>
      <c r="E1047" t="s">
        <v>41</v>
      </c>
      <c r="F1047" t="s">
        <v>24</v>
      </c>
      <c r="G1047" t="s">
        <v>23</v>
      </c>
      <c r="H1047">
        <v>2</v>
      </c>
      <c r="I1047">
        <v>36000</v>
      </c>
    </row>
    <row r="1048" spans="1:9" x14ac:dyDescent="0.3">
      <c r="A1048" s="1">
        <v>46167</v>
      </c>
      <c r="B1048">
        <v>2026</v>
      </c>
      <c r="C1048">
        <v>5</v>
      </c>
      <c r="D1048" t="s">
        <v>46</v>
      </c>
      <c r="E1048" t="s">
        <v>47</v>
      </c>
      <c r="F1048" t="s">
        <v>24</v>
      </c>
      <c r="G1048" t="s">
        <v>23</v>
      </c>
      <c r="H1048">
        <v>5</v>
      </c>
      <c r="I1048">
        <v>90000</v>
      </c>
    </row>
    <row r="1049" spans="1:9" x14ac:dyDescent="0.3">
      <c r="A1049" s="1">
        <v>46279</v>
      </c>
      <c r="B1049">
        <v>2026</v>
      </c>
      <c r="C1049">
        <v>9</v>
      </c>
      <c r="D1049" t="s">
        <v>48</v>
      </c>
      <c r="E1049" t="s">
        <v>43</v>
      </c>
      <c r="F1049" t="s">
        <v>24</v>
      </c>
      <c r="G1049" t="s">
        <v>23</v>
      </c>
      <c r="H1049">
        <v>5</v>
      </c>
      <c r="I1049">
        <v>90000</v>
      </c>
    </row>
    <row r="1050" spans="1:9" x14ac:dyDescent="0.3">
      <c r="A1050" s="1">
        <v>46272</v>
      </c>
      <c r="B1050">
        <v>2026</v>
      </c>
      <c r="C1050">
        <v>9</v>
      </c>
      <c r="D1050" t="s">
        <v>44</v>
      </c>
      <c r="E1050" t="s">
        <v>45</v>
      </c>
      <c r="F1050" t="s">
        <v>24</v>
      </c>
      <c r="G1050" t="s">
        <v>23</v>
      </c>
      <c r="H1050">
        <v>5</v>
      </c>
      <c r="I1050">
        <v>90000</v>
      </c>
    </row>
    <row r="1051" spans="1:9" x14ac:dyDescent="0.3">
      <c r="A1051" s="1">
        <v>46225</v>
      </c>
      <c r="B1051">
        <v>2026</v>
      </c>
      <c r="C1051">
        <v>7</v>
      </c>
      <c r="D1051" t="s">
        <v>46</v>
      </c>
      <c r="E1051" t="s">
        <v>47</v>
      </c>
      <c r="F1051" t="s">
        <v>24</v>
      </c>
      <c r="G1051" t="s">
        <v>23</v>
      </c>
      <c r="H1051">
        <v>5</v>
      </c>
      <c r="I1051">
        <v>90000</v>
      </c>
    </row>
    <row r="1052" spans="1:9" x14ac:dyDescent="0.3">
      <c r="A1052" s="1">
        <v>46092</v>
      </c>
      <c r="B1052">
        <v>2026</v>
      </c>
      <c r="C1052">
        <v>3</v>
      </c>
      <c r="D1052" t="s">
        <v>42</v>
      </c>
      <c r="E1052" t="s">
        <v>43</v>
      </c>
      <c r="F1052" t="s">
        <v>24</v>
      </c>
      <c r="G1052" t="s">
        <v>23</v>
      </c>
      <c r="H1052">
        <v>3</v>
      </c>
      <c r="I1052">
        <v>54000</v>
      </c>
    </row>
    <row r="1053" spans="1:9" x14ac:dyDescent="0.3">
      <c r="A1053" s="1">
        <v>46315</v>
      </c>
      <c r="B1053">
        <v>2026</v>
      </c>
      <c r="C1053">
        <v>10</v>
      </c>
      <c r="D1053" t="s">
        <v>42</v>
      </c>
      <c r="E1053" t="s">
        <v>43</v>
      </c>
      <c r="F1053" t="s">
        <v>24</v>
      </c>
      <c r="G1053" t="s">
        <v>23</v>
      </c>
      <c r="H1053">
        <v>1</v>
      </c>
      <c r="I1053">
        <v>18000</v>
      </c>
    </row>
    <row r="1054" spans="1:9" x14ac:dyDescent="0.3">
      <c r="A1054" s="1">
        <v>46293</v>
      </c>
      <c r="B1054">
        <v>2026</v>
      </c>
      <c r="C1054">
        <v>9</v>
      </c>
      <c r="D1054" t="s">
        <v>51</v>
      </c>
      <c r="E1054" t="s">
        <v>45</v>
      </c>
      <c r="F1054" t="s">
        <v>24</v>
      </c>
      <c r="G1054" t="s">
        <v>23</v>
      </c>
      <c r="H1054">
        <v>5</v>
      </c>
      <c r="I1054">
        <v>90000</v>
      </c>
    </row>
    <row r="1055" spans="1:9" x14ac:dyDescent="0.3">
      <c r="A1055" s="1">
        <v>46226</v>
      </c>
      <c r="B1055">
        <v>2026</v>
      </c>
      <c r="C1055">
        <v>7</v>
      </c>
      <c r="D1055" t="s">
        <v>44</v>
      </c>
      <c r="E1055" t="s">
        <v>45</v>
      </c>
      <c r="F1055" t="s">
        <v>24</v>
      </c>
      <c r="G1055" t="s">
        <v>23</v>
      </c>
      <c r="H1055">
        <v>5</v>
      </c>
      <c r="I1055">
        <v>90000</v>
      </c>
    </row>
    <row r="1056" spans="1:9" x14ac:dyDescent="0.3">
      <c r="A1056" s="1">
        <v>46158</v>
      </c>
      <c r="B1056">
        <v>2026</v>
      </c>
      <c r="C1056">
        <v>5</v>
      </c>
      <c r="D1056" t="s">
        <v>46</v>
      </c>
      <c r="E1056" t="s">
        <v>47</v>
      </c>
      <c r="F1056" t="s">
        <v>24</v>
      </c>
      <c r="G1056" t="s">
        <v>23</v>
      </c>
      <c r="H1056">
        <v>3</v>
      </c>
      <c r="I1056">
        <v>54000</v>
      </c>
    </row>
    <row r="1057" spans="1:9" x14ac:dyDescent="0.3">
      <c r="A1057" s="1">
        <v>46099</v>
      </c>
      <c r="B1057">
        <v>2026</v>
      </c>
      <c r="C1057">
        <v>3</v>
      </c>
      <c r="D1057" t="s">
        <v>42</v>
      </c>
      <c r="E1057" t="s">
        <v>43</v>
      </c>
      <c r="F1057" t="s">
        <v>24</v>
      </c>
      <c r="G1057" t="s">
        <v>23</v>
      </c>
      <c r="H1057">
        <v>2</v>
      </c>
      <c r="I1057">
        <v>36000</v>
      </c>
    </row>
    <row r="1058" spans="1:9" x14ac:dyDescent="0.3">
      <c r="A1058" s="1">
        <v>46275</v>
      </c>
      <c r="B1058">
        <v>2026</v>
      </c>
      <c r="C1058">
        <v>9</v>
      </c>
      <c r="D1058" t="s">
        <v>49</v>
      </c>
      <c r="E1058" t="s">
        <v>47</v>
      </c>
      <c r="F1058" t="s">
        <v>24</v>
      </c>
      <c r="G1058" t="s">
        <v>23</v>
      </c>
      <c r="H1058">
        <v>5</v>
      </c>
      <c r="I1058">
        <v>90000</v>
      </c>
    </row>
    <row r="1059" spans="1:9" x14ac:dyDescent="0.3">
      <c r="A1059" s="1">
        <v>46045</v>
      </c>
      <c r="B1059">
        <v>2026</v>
      </c>
      <c r="C1059">
        <v>1</v>
      </c>
      <c r="D1059" t="s">
        <v>50</v>
      </c>
      <c r="E1059" t="s">
        <v>41</v>
      </c>
      <c r="F1059" t="s">
        <v>24</v>
      </c>
      <c r="G1059" t="s">
        <v>23</v>
      </c>
      <c r="H1059">
        <v>4</v>
      </c>
      <c r="I1059">
        <v>72000</v>
      </c>
    </row>
    <row r="1060" spans="1:9" x14ac:dyDescent="0.3">
      <c r="A1060" s="1">
        <v>46302</v>
      </c>
      <c r="B1060">
        <v>2026</v>
      </c>
      <c r="C1060">
        <v>10</v>
      </c>
      <c r="D1060" t="s">
        <v>49</v>
      </c>
      <c r="E1060" t="s">
        <v>47</v>
      </c>
      <c r="F1060" t="s">
        <v>24</v>
      </c>
      <c r="G1060" t="s">
        <v>23</v>
      </c>
      <c r="H1060">
        <v>2</v>
      </c>
      <c r="I1060">
        <v>36000</v>
      </c>
    </row>
    <row r="1061" spans="1:9" x14ac:dyDescent="0.3">
      <c r="A1061" s="1">
        <v>46031</v>
      </c>
      <c r="B1061">
        <v>2026</v>
      </c>
      <c r="C1061">
        <v>1</v>
      </c>
      <c r="D1061" t="s">
        <v>49</v>
      </c>
      <c r="E1061" t="s">
        <v>47</v>
      </c>
      <c r="F1061" t="s">
        <v>24</v>
      </c>
      <c r="G1061" t="s">
        <v>23</v>
      </c>
      <c r="H1061">
        <v>5</v>
      </c>
      <c r="I1061">
        <v>90000</v>
      </c>
    </row>
    <row r="1062" spans="1:9" x14ac:dyDescent="0.3">
      <c r="A1062" s="1">
        <v>46245</v>
      </c>
      <c r="B1062">
        <v>2026</v>
      </c>
      <c r="C1062">
        <v>8</v>
      </c>
      <c r="D1062" t="s">
        <v>42</v>
      </c>
      <c r="E1062" t="s">
        <v>43</v>
      </c>
      <c r="F1062" t="s">
        <v>24</v>
      </c>
      <c r="G1062" t="s">
        <v>23</v>
      </c>
      <c r="H1062">
        <v>3</v>
      </c>
      <c r="I1062">
        <v>54000</v>
      </c>
    </row>
    <row r="1063" spans="1:9" x14ac:dyDescent="0.3">
      <c r="A1063" s="1">
        <v>46225</v>
      </c>
      <c r="B1063">
        <v>2026</v>
      </c>
      <c r="C1063">
        <v>7</v>
      </c>
      <c r="D1063" t="s">
        <v>40</v>
      </c>
      <c r="E1063" t="s">
        <v>41</v>
      </c>
      <c r="F1063" t="s">
        <v>24</v>
      </c>
      <c r="G1063" t="s">
        <v>23</v>
      </c>
      <c r="H1063">
        <v>4</v>
      </c>
      <c r="I1063">
        <v>72000</v>
      </c>
    </row>
    <row r="1064" spans="1:9" x14ac:dyDescent="0.3">
      <c r="A1064" s="1">
        <v>46249</v>
      </c>
      <c r="B1064">
        <v>2026</v>
      </c>
      <c r="C1064">
        <v>8</v>
      </c>
      <c r="D1064" t="s">
        <v>46</v>
      </c>
      <c r="E1064" t="s">
        <v>47</v>
      </c>
      <c r="F1064" t="s">
        <v>24</v>
      </c>
      <c r="G1064" t="s">
        <v>23</v>
      </c>
      <c r="H1064">
        <v>3</v>
      </c>
      <c r="I1064">
        <v>54000</v>
      </c>
    </row>
    <row r="1065" spans="1:9" x14ac:dyDescent="0.3">
      <c r="A1065" s="1">
        <v>46279</v>
      </c>
      <c r="B1065">
        <v>2026</v>
      </c>
      <c r="C1065">
        <v>9</v>
      </c>
      <c r="D1065" t="s">
        <v>48</v>
      </c>
      <c r="E1065" t="s">
        <v>43</v>
      </c>
      <c r="F1065" t="s">
        <v>24</v>
      </c>
      <c r="G1065" t="s">
        <v>23</v>
      </c>
      <c r="H1065">
        <v>4</v>
      </c>
      <c r="I1065">
        <v>72000</v>
      </c>
    </row>
    <row r="1066" spans="1:9" x14ac:dyDescent="0.3">
      <c r="A1066" s="1">
        <v>46163</v>
      </c>
      <c r="B1066">
        <v>2026</v>
      </c>
      <c r="C1066">
        <v>5</v>
      </c>
      <c r="D1066" t="s">
        <v>48</v>
      </c>
      <c r="E1066" t="s">
        <v>43</v>
      </c>
      <c r="F1066" t="s">
        <v>24</v>
      </c>
      <c r="G1066" t="s">
        <v>23</v>
      </c>
      <c r="H1066">
        <v>5</v>
      </c>
      <c r="I1066">
        <v>90000</v>
      </c>
    </row>
    <row r="1067" spans="1:9" x14ac:dyDescent="0.3">
      <c r="A1067" s="1">
        <v>46110</v>
      </c>
      <c r="B1067">
        <v>2026</v>
      </c>
      <c r="C1067">
        <v>3</v>
      </c>
      <c r="D1067" t="s">
        <v>50</v>
      </c>
      <c r="E1067" t="s">
        <v>41</v>
      </c>
      <c r="F1067" t="s">
        <v>24</v>
      </c>
      <c r="G1067" t="s">
        <v>23</v>
      </c>
      <c r="H1067">
        <v>2</v>
      </c>
      <c r="I1067">
        <v>36000</v>
      </c>
    </row>
    <row r="1068" spans="1:9" x14ac:dyDescent="0.3">
      <c r="A1068" s="1">
        <v>46309</v>
      </c>
      <c r="B1068">
        <v>2026</v>
      </c>
      <c r="C1068">
        <v>10</v>
      </c>
      <c r="D1068" t="s">
        <v>44</v>
      </c>
      <c r="E1068" t="s">
        <v>45</v>
      </c>
      <c r="F1068" t="s">
        <v>24</v>
      </c>
      <c r="G1068" t="s">
        <v>23</v>
      </c>
      <c r="H1068">
        <v>5</v>
      </c>
      <c r="I1068">
        <v>90000</v>
      </c>
    </row>
    <row r="1069" spans="1:9" x14ac:dyDescent="0.3">
      <c r="A1069" s="1">
        <v>46207</v>
      </c>
      <c r="B1069">
        <v>2026</v>
      </c>
      <c r="C1069">
        <v>7</v>
      </c>
      <c r="D1069" t="s">
        <v>49</v>
      </c>
      <c r="E1069" t="s">
        <v>47</v>
      </c>
      <c r="F1069" t="s">
        <v>24</v>
      </c>
      <c r="G1069" t="s">
        <v>23</v>
      </c>
      <c r="H1069">
        <v>2</v>
      </c>
      <c r="I1069">
        <v>36000</v>
      </c>
    </row>
    <row r="1070" spans="1:9" x14ac:dyDescent="0.3">
      <c r="A1070" s="1">
        <v>46164</v>
      </c>
      <c r="B1070">
        <v>2026</v>
      </c>
      <c r="C1070">
        <v>5</v>
      </c>
      <c r="D1070" t="s">
        <v>46</v>
      </c>
      <c r="E1070" t="s">
        <v>47</v>
      </c>
      <c r="F1070" t="s">
        <v>24</v>
      </c>
      <c r="G1070" t="s">
        <v>23</v>
      </c>
      <c r="H1070">
        <v>3</v>
      </c>
      <c r="I1070">
        <v>54000</v>
      </c>
    </row>
    <row r="1071" spans="1:9" x14ac:dyDescent="0.3">
      <c r="A1071" s="1">
        <v>46068</v>
      </c>
      <c r="B1071">
        <v>2026</v>
      </c>
      <c r="C1071">
        <v>2</v>
      </c>
      <c r="D1071" t="s">
        <v>50</v>
      </c>
      <c r="E1071" t="s">
        <v>41</v>
      </c>
      <c r="F1071" t="s">
        <v>24</v>
      </c>
      <c r="G1071" t="s">
        <v>23</v>
      </c>
      <c r="H1071">
        <v>3</v>
      </c>
      <c r="I1071">
        <v>54000</v>
      </c>
    </row>
    <row r="1072" spans="1:9" x14ac:dyDescent="0.3">
      <c r="A1072" s="1">
        <v>46249</v>
      </c>
      <c r="B1072">
        <v>2026</v>
      </c>
      <c r="C1072">
        <v>8</v>
      </c>
      <c r="D1072" t="s">
        <v>44</v>
      </c>
      <c r="E1072" t="s">
        <v>45</v>
      </c>
      <c r="F1072" t="s">
        <v>24</v>
      </c>
      <c r="G1072" t="s">
        <v>23</v>
      </c>
      <c r="H1072">
        <v>4</v>
      </c>
      <c r="I1072">
        <v>72000</v>
      </c>
    </row>
    <row r="1073" spans="1:9" x14ac:dyDescent="0.3">
      <c r="A1073" s="1">
        <v>46025</v>
      </c>
      <c r="B1073">
        <v>2026</v>
      </c>
      <c r="C1073">
        <v>1</v>
      </c>
      <c r="D1073" t="s">
        <v>51</v>
      </c>
      <c r="E1073" t="s">
        <v>45</v>
      </c>
      <c r="F1073" t="s">
        <v>24</v>
      </c>
      <c r="G1073" t="s">
        <v>23</v>
      </c>
      <c r="H1073">
        <v>5</v>
      </c>
      <c r="I1073">
        <v>90000</v>
      </c>
    </row>
    <row r="1074" spans="1:9" x14ac:dyDescent="0.3">
      <c r="A1074" s="1">
        <v>46272</v>
      </c>
      <c r="B1074">
        <v>2026</v>
      </c>
      <c r="C1074">
        <v>9</v>
      </c>
      <c r="D1074" t="s">
        <v>48</v>
      </c>
      <c r="E1074" t="s">
        <v>43</v>
      </c>
      <c r="F1074" t="s">
        <v>24</v>
      </c>
      <c r="G1074" t="s">
        <v>23</v>
      </c>
      <c r="H1074">
        <v>2</v>
      </c>
      <c r="I1074">
        <v>36000</v>
      </c>
    </row>
    <row r="1075" spans="1:9" x14ac:dyDescent="0.3">
      <c r="A1075" s="1">
        <v>46206</v>
      </c>
      <c r="B1075">
        <v>2026</v>
      </c>
      <c r="C1075">
        <v>7</v>
      </c>
      <c r="D1075" t="s">
        <v>40</v>
      </c>
      <c r="E1075" t="s">
        <v>41</v>
      </c>
      <c r="F1075" t="s">
        <v>24</v>
      </c>
      <c r="G1075" t="s">
        <v>23</v>
      </c>
      <c r="H1075">
        <v>2</v>
      </c>
      <c r="I1075">
        <v>36000</v>
      </c>
    </row>
    <row r="1076" spans="1:9" x14ac:dyDescent="0.3">
      <c r="A1076" s="1">
        <v>46091</v>
      </c>
      <c r="B1076">
        <v>2026</v>
      </c>
      <c r="C1076">
        <v>3</v>
      </c>
      <c r="D1076" t="s">
        <v>42</v>
      </c>
      <c r="E1076" t="s">
        <v>43</v>
      </c>
      <c r="F1076" t="s">
        <v>24</v>
      </c>
      <c r="G1076" t="s">
        <v>23</v>
      </c>
      <c r="H1076">
        <v>1</v>
      </c>
      <c r="I1076">
        <v>18000</v>
      </c>
    </row>
    <row r="1077" spans="1:9" x14ac:dyDescent="0.3">
      <c r="A1077" s="1">
        <v>46275</v>
      </c>
      <c r="B1077">
        <v>2026</v>
      </c>
      <c r="C1077">
        <v>9</v>
      </c>
      <c r="D1077" t="s">
        <v>42</v>
      </c>
      <c r="E1077" t="s">
        <v>43</v>
      </c>
      <c r="F1077" t="s">
        <v>24</v>
      </c>
      <c r="G1077" t="s">
        <v>23</v>
      </c>
      <c r="H1077">
        <v>3</v>
      </c>
      <c r="I1077">
        <v>54000</v>
      </c>
    </row>
    <row r="1078" spans="1:9" x14ac:dyDescent="0.3">
      <c r="A1078" s="1">
        <v>46054</v>
      </c>
      <c r="B1078">
        <v>2026</v>
      </c>
      <c r="C1078">
        <v>2</v>
      </c>
      <c r="D1078" t="s">
        <v>46</v>
      </c>
      <c r="E1078" t="s">
        <v>47</v>
      </c>
      <c r="F1078" t="s">
        <v>24</v>
      </c>
      <c r="G1078" t="s">
        <v>23</v>
      </c>
      <c r="H1078">
        <v>4</v>
      </c>
      <c r="I1078">
        <v>72000</v>
      </c>
    </row>
    <row r="1079" spans="1:9" x14ac:dyDescent="0.3">
      <c r="A1079" s="1">
        <v>46072</v>
      </c>
      <c r="B1079">
        <v>2026</v>
      </c>
      <c r="C1079">
        <v>2</v>
      </c>
      <c r="D1079" t="s">
        <v>40</v>
      </c>
      <c r="E1079" t="s">
        <v>41</v>
      </c>
      <c r="F1079" t="s">
        <v>24</v>
      </c>
      <c r="G1079" t="s">
        <v>23</v>
      </c>
      <c r="H1079">
        <v>4</v>
      </c>
      <c r="I1079">
        <v>72000</v>
      </c>
    </row>
    <row r="1080" spans="1:9" x14ac:dyDescent="0.3">
      <c r="A1080" s="1">
        <v>46317</v>
      </c>
      <c r="B1080">
        <v>2026</v>
      </c>
      <c r="C1080">
        <v>10</v>
      </c>
      <c r="D1080" t="s">
        <v>48</v>
      </c>
      <c r="E1080" t="s">
        <v>43</v>
      </c>
      <c r="F1080" t="s">
        <v>24</v>
      </c>
      <c r="G1080" t="s">
        <v>23</v>
      </c>
      <c r="H1080">
        <v>2</v>
      </c>
      <c r="I1080">
        <v>36000</v>
      </c>
    </row>
    <row r="1081" spans="1:9" x14ac:dyDescent="0.3">
      <c r="A1081" s="1">
        <v>46207</v>
      </c>
      <c r="B1081">
        <v>2026</v>
      </c>
      <c r="C1081">
        <v>7</v>
      </c>
      <c r="D1081" t="s">
        <v>51</v>
      </c>
      <c r="E1081" t="s">
        <v>45</v>
      </c>
      <c r="F1081" t="s">
        <v>24</v>
      </c>
      <c r="G1081" t="s">
        <v>23</v>
      </c>
      <c r="H1081">
        <v>3</v>
      </c>
      <c r="I1081">
        <v>54000</v>
      </c>
    </row>
    <row r="1082" spans="1:9" x14ac:dyDescent="0.3">
      <c r="A1082" s="1">
        <v>46303</v>
      </c>
      <c r="B1082">
        <v>2026</v>
      </c>
      <c r="C1082">
        <v>10</v>
      </c>
      <c r="D1082" t="s">
        <v>42</v>
      </c>
      <c r="E1082" t="s">
        <v>43</v>
      </c>
      <c r="F1082" t="s">
        <v>24</v>
      </c>
      <c r="G1082" t="s">
        <v>23</v>
      </c>
      <c r="H1082">
        <v>1</v>
      </c>
      <c r="I1082">
        <v>18000</v>
      </c>
    </row>
    <row r="1083" spans="1:9" x14ac:dyDescent="0.3">
      <c r="A1083" s="1">
        <v>46324</v>
      </c>
      <c r="B1083">
        <v>2026</v>
      </c>
      <c r="C1083">
        <v>10</v>
      </c>
      <c r="D1083" t="s">
        <v>44</v>
      </c>
      <c r="E1083" t="s">
        <v>45</v>
      </c>
      <c r="F1083" t="s">
        <v>24</v>
      </c>
      <c r="G1083" t="s">
        <v>23</v>
      </c>
      <c r="H1083">
        <v>3</v>
      </c>
      <c r="I1083">
        <v>54000</v>
      </c>
    </row>
    <row r="1084" spans="1:9" x14ac:dyDescent="0.3">
      <c r="A1084" s="1">
        <v>46196</v>
      </c>
      <c r="B1084">
        <v>2026</v>
      </c>
      <c r="C1084">
        <v>6</v>
      </c>
      <c r="D1084" t="s">
        <v>46</v>
      </c>
      <c r="E1084" t="s">
        <v>47</v>
      </c>
      <c r="F1084" t="s">
        <v>24</v>
      </c>
      <c r="G1084" t="s">
        <v>23</v>
      </c>
      <c r="H1084">
        <v>3</v>
      </c>
      <c r="I1084">
        <v>54000</v>
      </c>
    </row>
    <row r="1085" spans="1:9" x14ac:dyDescent="0.3">
      <c r="A1085" s="1">
        <v>46182</v>
      </c>
      <c r="B1085">
        <v>2026</v>
      </c>
      <c r="C1085">
        <v>6</v>
      </c>
      <c r="D1085" t="s">
        <v>48</v>
      </c>
      <c r="E1085" t="s">
        <v>43</v>
      </c>
      <c r="F1085" t="s">
        <v>24</v>
      </c>
      <c r="G1085" t="s">
        <v>23</v>
      </c>
      <c r="H1085">
        <v>5</v>
      </c>
      <c r="I1085">
        <v>90000</v>
      </c>
    </row>
    <row r="1086" spans="1:9" x14ac:dyDescent="0.3">
      <c r="A1086" s="1">
        <v>46111</v>
      </c>
      <c r="B1086">
        <v>2026</v>
      </c>
      <c r="C1086">
        <v>3</v>
      </c>
      <c r="D1086" t="s">
        <v>40</v>
      </c>
      <c r="E1086" t="s">
        <v>41</v>
      </c>
      <c r="F1086" t="s">
        <v>24</v>
      </c>
      <c r="G1086" t="s">
        <v>23</v>
      </c>
      <c r="H1086">
        <v>4</v>
      </c>
      <c r="I1086">
        <v>72000</v>
      </c>
    </row>
    <row r="1087" spans="1:9" x14ac:dyDescent="0.3">
      <c r="A1087" s="1">
        <v>46154</v>
      </c>
      <c r="B1087">
        <v>2026</v>
      </c>
      <c r="C1087">
        <v>5</v>
      </c>
      <c r="D1087" t="s">
        <v>48</v>
      </c>
      <c r="E1087" t="s">
        <v>43</v>
      </c>
      <c r="F1087" t="s">
        <v>24</v>
      </c>
      <c r="G1087" t="s">
        <v>23</v>
      </c>
      <c r="H1087">
        <v>2</v>
      </c>
      <c r="I1087">
        <v>36000</v>
      </c>
    </row>
    <row r="1088" spans="1:9" x14ac:dyDescent="0.3">
      <c r="A1088" s="1">
        <v>46080</v>
      </c>
      <c r="B1088">
        <v>2026</v>
      </c>
      <c r="C1088">
        <v>2</v>
      </c>
      <c r="D1088" t="s">
        <v>49</v>
      </c>
      <c r="E1088" t="s">
        <v>47</v>
      </c>
      <c r="F1088" t="s">
        <v>24</v>
      </c>
      <c r="G1088" t="s">
        <v>23</v>
      </c>
      <c r="H1088">
        <v>3</v>
      </c>
      <c r="I1088">
        <v>54000</v>
      </c>
    </row>
    <row r="1089" spans="1:9" x14ac:dyDescent="0.3">
      <c r="A1089" s="1">
        <v>46120</v>
      </c>
      <c r="B1089">
        <v>2026</v>
      </c>
      <c r="C1089">
        <v>4</v>
      </c>
      <c r="D1089" t="s">
        <v>46</v>
      </c>
      <c r="E1089" t="s">
        <v>47</v>
      </c>
      <c r="F1089" t="s">
        <v>24</v>
      </c>
      <c r="G1089" t="s">
        <v>23</v>
      </c>
      <c r="H1089">
        <v>4</v>
      </c>
      <c r="I1089">
        <v>72000</v>
      </c>
    </row>
    <row r="1090" spans="1:9" x14ac:dyDescent="0.3">
      <c r="A1090" s="1">
        <v>46293</v>
      </c>
      <c r="B1090">
        <v>2026</v>
      </c>
      <c r="C1090">
        <v>9</v>
      </c>
      <c r="D1090" t="s">
        <v>42</v>
      </c>
      <c r="E1090" t="s">
        <v>43</v>
      </c>
      <c r="F1090" t="s">
        <v>24</v>
      </c>
      <c r="G1090" t="s">
        <v>23</v>
      </c>
      <c r="H1090">
        <v>5</v>
      </c>
      <c r="I1090">
        <v>90000</v>
      </c>
    </row>
    <row r="1091" spans="1:9" x14ac:dyDescent="0.3">
      <c r="A1091" s="1">
        <v>46256</v>
      </c>
      <c r="B1091">
        <v>2026</v>
      </c>
      <c r="C1091">
        <v>8</v>
      </c>
      <c r="D1091" t="s">
        <v>44</v>
      </c>
      <c r="E1091" t="s">
        <v>45</v>
      </c>
      <c r="F1091" t="s">
        <v>24</v>
      </c>
      <c r="G1091" t="s">
        <v>23</v>
      </c>
      <c r="H1091">
        <v>3</v>
      </c>
      <c r="I1091">
        <v>54000</v>
      </c>
    </row>
    <row r="1092" spans="1:9" x14ac:dyDescent="0.3">
      <c r="A1092" s="1">
        <v>46038</v>
      </c>
      <c r="B1092">
        <v>2026</v>
      </c>
      <c r="C1092">
        <v>1</v>
      </c>
      <c r="D1092" t="s">
        <v>49</v>
      </c>
      <c r="E1092" t="s">
        <v>47</v>
      </c>
      <c r="F1092" t="s">
        <v>24</v>
      </c>
      <c r="G1092" t="s">
        <v>23</v>
      </c>
      <c r="H1092">
        <v>4</v>
      </c>
      <c r="I1092">
        <v>72000</v>
      </c>
    </row>
    <row r="1093" spans="1:9" x14ac:dyDescent="0.3">
      <c r="A1093" s="1">
        <v>46208</v>
      </c>
      <c r="B1093">
        <v>2026</v>
      </c>
      <c r="C1093">
        <v>7</v>
      </c>
      <c r="D1093" t="s">
        <v>46</v>
      </c>
      <c r="E1093" t="s">
        <v>47</v>
      </c>
      <c r="F1093" t="s">
        <v>24</v>
      </c>
      <c r="G1093" t="s">
        <v>23</v>
      </c>
      <c r="H1093">
        <v>4</v>
      </c>
      <c r="I1093">
        <v>72000</v>
      </c>
    </row>
    <row r="1094" spans="1:9" x14ac:dyDescent="0.3">
      <c r="A1094" s="1">
        <v>46238</v>
      </c>
      <c r="B1094">
        <v>2026</v>
      </c>
      <c r="C1094">
        <v>8</v>
      </c>
      <c r="D1094" t="s">
        <v>46</v>
      </c>
      <c r="E1094" t="s">
        <v>47</v>
      </c>
      <c r="F1094" t="s">
        <v>24</v>
      </c>
      <c r="G1094" t="s">
        <v>23</v>
      </c>
      <c r="H1094">
        <v>1</v>
      </c>
      <c r="I1094">
        <v>18000</v>
      </c>
    </row>
    <row r="1095" spans="1:9" x14ac:dyDescent="0.3">
      <c r="A1095" s="1">
        <v>46180</v>
      </c>
      <c r="B1095">
        <v>2026</v>
      </c>
      <c r="C1095">
        <v>6</v>
      </c>
      <c r="D1095" t="s">
        <v>46</v>
      </c>
      <c r="E1095" t="s">
        <v>47</v>
      </c>
      <c r="F1095" t="s">
        <v>24</v>
      </c>
      <c r="G1095" t="s">
        <v>23</v>
      </c>
      <c r="H1095">
        <v>2</v>
      </c>
      <c r="I1095">
        <v>36000</v>
      </c>
    </row>
    <row r="1096" spans="1:9" x14ac:dyDescent="0.3">
      <c r="A1096" s="1">
        <v>46210</v>
      </c>
      <c r="B1096">
        <v>2026</v>
      </c>
      <c r="C1096">
        <v>7</v>
      </c>
      <c r="D1096" t="s">
        <v>40</v>
      </c>
      <c r="E1096" t="s">
        <v>41</v>
      </c>
      <c r="F1096" t="s">
        <v>24</v>
      </c>
      <c r="G1096" t="s">
        <v>23</v>
      </c>
      <c r="H1096">
        <v>3</v>
      </c>
      <c r="I1096">
        <v>54000</v>
      </c>
    </row>
    <row r="1097" spans="1:9" x14ac:dyDescent="0.3">
      <c r="A1097" s="1">
        <v>46104</v>
      </c>
      <c r="B1097">
        <v>2026</v>
      </c>
      <c r="C1097">
        <v>3</v>
      </c>
      <c r="D1097" t="s">
        <v>46</v>
      </c>
      <c r="E1097" t="s">
        <v>47</v>
      </c>
      <c r="F1097" t="s">
        <v>24</v>
      </c>
      <c r="G1097" t="s">
        <v>23</v>
      </c>
      <c r="H1097">
        <v>2</v>
      </c>
      <c r="I1097">
        <v>36000</v>
      </c>
    </row>
    <row r="1098" spans="1:9" x14ac:dyDescent="0.3">
      <c r="A1098" s="1">
        <v>46165</v>
      </c>
      <c r="B1098">
        <v>2026</v>
      </c>
      <c r="C1098">
        <v>5</v>
      </c>
      <c r="D1098" t="s">
        <v>42</v>
      </c>
      <c r="E1098" t="s">
        <v>43</v>
      </c>
      <c r="F1098" t="s">
        <v>24</v>
      </c>
      <c r="G1098" t="s">
        <v>23</v>
      </c>
      <c r="H1098">
        <v>1</v>
      </c>
      <c r="I1098">
        <v>18000</v>
      </c>
    </row>
    <row r="1099" spans="1:9" x14ac:dyDescent="0.3">
      <c r="A1099" s="1">
        <v>46292</v>
      </c>
      <c r="B1099">
        <v>2026</v>
      </c>
      <c r="C1099">
        <v>9</v>
      </c>
      <c r="D1099" t="s">
        <v>42</v>
      </c>
      <c r="E1099" t="s">
        <v>43</v>
      </c>
      <c r="F1099" t="s">
        <v>24</v>
      </c>
      <c r="G1099" t="s">
        <v>23</v>
      </c>
      <c r="H1099">
        <v>4</v>
      </c>
      <c r="I1099">
        <v>72000</v>
      </c>
    </row>
    <row r="1100" spans="1:9" x14ac:dyDescent="0.3">
      <c r="A1100" s="1">
        <v>46169</v>
      </c>
      <c r="B1100">
        <v>2026</v>
      </c>
      <c r="C1100">
        <v>5</v>
      </c>
      <c r="D1100" t="s">
        <v>44</v>
      </c>
      <c r="E1100" t="s">
        <v>45</v>
      </c>
      <c r="F1100" t="s">
        <v>24</v>
      </c>
      <c r="G1100" t="s">
        <v>23</v>
      </c>
      <c r="H1100">
        <v>2</v>
      </c>
      <c r="I1100">
        <v>36000</v>
      </c>
    </row>
    <row r="1101" spans="1:9" x14ac:dyDescent="0.3">
      <c r="A1101" s="1">
        <v>46057</v>
      </c>
      <c r="B1101">
        <v>2026</v>
      </c>
      <c r="C1101">
        <v>2</v>
      </c>
      <c r="D1101" t="s">
        <v>44</v>
      </c>
      <c r="E1101" t="s">
        <v>45</v>
      </c>
      <c r="F1101" t="s">
        <v>24</v>
      </c>
      <c r="G1101" t="s">
        <v>23</v>
      </c>
      <c r="H1101">
        <v>4</v>
      </c>
      <c r="I1101">
        <v>72000</v>
      </c>
    </row>
    <row r="1102" spans="1:9" x14ac:dyDescent="0.3">
      <c r="A1102" s="1">
        <v>46109</v>
      </c>
      <c r="B1102">
        <v>2026</v>
      </c>
      <c r="C1102">
        <v>3</v>
      </c>
      <c r="D1102" t="s">
        <v>48</v>
      </c>
      <c r="E1102" t="s">
        <v>43</v>
      </c>
      <c r="F1102" t="s">
        <v>24</v>
      </c>
      <c r="G1102" t="s">
        <v>23</v>
      </c>
      <c r="H1102">
        <v>1</v>
      </c>
      <c r="I1102">
        <v>18000</v>
      </c>
    </row>
    <row r="1103" spans="1:9" x14ac:dyDescent="0.3">
      <c r="A1103" s="1">
        <v>46174</v>
      </c>
      <c r="B1103">
        <v>2026</v>
      </c>
      <c r="C1103">
        <v>6</v>
      </c>
      <c r="D1103" t="s">
        <v>51</v>
      </c>
      <c r="E1103" t="s">
        <v>45</v>
      </c>
      <c r="F1103" t="s">
        <v>24</v>
      </c>
      <c r="G1103" t="s">
        <v>23</v>
      </c>
      <c r="H1103">
        <v>2</v>
      </c>
      <c r="I1103">
        <v>36000</v>
      </c>
    </row>
    <row r="1104" spans="1:9" x14ac:dyDescent="0.3">
      <c r="A1104" s="1">
        <v>46316</v>
      </c>
      <c r="B1104">
        <v>2026</v>
      </c>
      <c r="C1104">
        <v>10</v>
      </c>
      <c r="D1104" t="s">
        <v>50</v>
      </c>
      <c r="E1104" t="s">
        <v>41</v>
      </c>
      <c r="F1104" t="s">
        <v>24</v>
      </c>
      <c r="G1104" t="s">
        <v>23</v>
      </c>
      <c r="H1104">
        <v>1</v>
      </c>
      <c r="I1104">
        <v>18000</v>
      </c>
    </row>
    <row r="1105" spans="1:9" x14ac:dyDescent="0.3">
      <c r="A1105" s="1">
        <v>46088</v>
      </c>
      <c r="B1105">
        <v>2026</v>
      </c>
      <c r="C1105">
        <v>3</v>
      </c>
      <c r="D1105" t="s">
        <v>49</v>
      </c>
      <c r="E1105" t="s">
        <v>47</v>
      </c>
      <c r="F1105" t="s">
        <v>24</v>
      </c>
      <c r="G1105" t="s">
        <v>23</v>
      </c>
      <c r="H1105">
        <v>4</v>
      </c>
      <c r="I1105">
        <v>72000</v>
      </c>
    </row>
    <row r="1106" spans="1:9" x14ac:dyDescent="0.3">
      <c r="A1106" s="1">
        <v>46227</v>
      </c>
      <c r="B1106">
        <v>2026</v>
      </c>
      <c r="C1106">
        <v>7</v>
      </c>
      <c r="D1106" t="s">
        <v>48</v>
      </c>
      <c r="E1106" t="s">
        <v>43</v>
      </c>
      <c r="F1106" t="s">
        <v>24</v>
      </c>
      <c r="G1106" t="s">
        <v>23</v>
      </c>
      <c r="H1106">
        <v>4</v>
      </c>
      <c r="I1106">
        <v>72000</v>
      </c>
    </row>
    <row r="1107" spans="1:9" x14ac:dyDescent="0.3">
      <c r="A1107" s="1">
        <v>46027</v>
      </c>
      <c r="B1107">
        <v>2026</v>
      </c>
      <c r="C1107">
        <v>1</v>
      </c>
      <c r="D1107" t="s">
        <v>51</v>
      </c>
      <c r="E1107" t="s">
        <v>45</v>
      </c>
      <c r="F1107" t="s">
        <v>24</v>
      </c>
      <c r="G1107" t="s">
        <v>23</v>
      </c>
      <c r="H1107">
        <v>1</v>
      </c>
      <c r="I1107">
        <v>18000</v>
      </c>
    </row>
    <row r="1108" spans="1:9" x14ac:dyDescent="0.3">
      <c r="A1108" s="1">
        <v>46097</v>
      </c>
      <c r="B1108">
        <v>2026</v>
      </c>
      <c r="C1108">
        <v>3</v>
      </c>
      <c r="D1108" t="s">
        <v>42</v>
      </c>
      <c r="E1108" t="s">
        <v>43</v>
      </c>
      <c r="F1108" t="s">
        <v>24</v>
      </c>
      <c r="G1108" t="s">
        <v>23</v>
      </c>
      <c r="H1108">
        <v>4</v>
      </c>
      <c r="I1108">
        <v>72000</v>
      </c>
    </row>
    <row r="1109" spans="1:9" x14ac:dyDescent="0.3">
      <c r="A1109" s="1">
        <v>46086</v>
      </c>
      <c r="B1109">
        <v>2026</v>
      </c>
      <c r="C1109">
        <v>3</v>
      </c>
      <c r="D1109" t="s">
        <v>40</v>
      </c>
      <c r="E1109" t="s">
        <v>41</v>
      </c>
      <c r="F1109" t="s">
        <v>24</v>
      </c>
      <c r="G1109" t="s">
        <v>23</v>
      </c>
      <c r="H1109">
        <v>4</v>
      </c>
      <c r="I1109">
        <v>72000</v>
      </c>
    </row>
    <row r="1110" spans="1:9" x14ac:dyDescent="0.3">
      <c r="A1110" s="1">
        <v>46166</v>
      </c>
      <c r="B1110">
        <v>2026</v>
      </c>
      <c r="C1110">
        <v>5</v>
      </c>
      <c r="D1110" t="s">
        <v>46</v>
      </c>
      <c r="E1110" t="s">
        <v>47</v>
      </c>
      <c r="F1110" t="s">
        <v>24</v>
      </c>
      <c r="G1110" t="s">
        <v>23</v>
      </c>
      <c r="H1110">
        <v>4</v>
      </c>
      <c r="I1110">
        <v>72000</v>
      </c>
    </row>
    <row r="1111" spans="1:9" x14ac:dyDescent="0.3">
      <c r="A1111" s="1">
        <v>46034</v>
      </c>
      <c r="B1111">
        <v>2026</v>
      </c>
      <c r="C1111">
        <v>1</v>
      </c>
      <c r="D1111" t="s">
        <v>49</v>
      </c>
      <c r="E1111" t="s">
        <v>47</v>
      </c>
      <c r="F1111" t="s">
        <v>24</v>
      </c>
      <c r="G1111" t="s">
        <v>23</v>
      </c>
      <c r="H1111">
        <v>1</v>
      </c>
      <c r="I1111">
        <v>18000</v>
      </c>
    </row>
    <row r="1112" spans="1:9" x14ac:dyDescent="0.3">
      <c r="A1112" s="1">
        <v>46212</v>
      </c>
      <c r="B1112">
        <v>2026</v>
      </c>
      <c r="C1112">
        <v>7</v>
      </c>
      <c r="D1112" t="s">
        <v>51</v>
      </c>
      <c r="E1112" t="s">
        <v>45</v>
      </c>
      <c r="F1112" t="s">
        <v>24</v>
      </c>
      <c r="G1112" t="s">
        <v>23</v>
      </c>
      <c r="H1112">
        <v>3</v>
      </c>
      <c r="I1112">
        <v>54000</v>
      </c>
    </row>
    <row r="1113" spans="1:9" x14ac:dyDescent="0.3">
      <c r="A1113" s="1">
        <v>46268</v>
      </c>
      <c r="B1113">
        <v>2026</v>
      </c>
      <c r="C1113">
        <v>9</v>
      </c>
      <c r="D1113" t="s">
        <v>42</v>
      </c>
      <c r="E1113" t="s">
        <v>43</v>
      </c>
      <c r="F1113" t="s">
        <v>24</v>
      </c>
      <c r="G1113" t="s">
        <v>23</v>
      </c>
      <c r="H1113">
        <v>2</v>
      </c>
      <c r="I1113">
        <v>36000</v>
      </c>
    </row>
    <row r="1114" spans="1:9" x14ac:dyDescent="0.3">
      <c r="A1114" s="1">
        <v>46314</v>
      </c>
      <c r="B1114">
        <v>2026</v>
      </c>
      <c r="C1114">
        <v>10</v>
      </c>
      <c r="D1114" t="s">
        <v>51</v>
      </c>
      <c r="E1114" t="s">
        <v>45</v>
      </c>
      <c r="F1114" t="s">
        <v>24</v>
      </c>
      <c r="G1114" t="s">
        <v>23</v>
      </c>
      <c r="H1114">
        <v>5</v>
      </c>
      <c r="I1114">
        <v>90000</v>
      </c>
    </row>
    <row r="1115" spans="1:9" x14ac:dyDescent="0.3">
      <c r="A1115" s="1">
        <v>46057</v>
      </c>
      <c r="B1115">
        <v>2026</v>
      </c>
      <c r="C1115">
        <v>2</v>
      </c>
      <c r="D1115" t="s">
        <v>44</v>
      </c>
      <c r="E1115" t="s">
        <v>45</v>
      </c>
      <c r="F1115" t="s">
        <v>24</v>
      </c>
      <c r="G1115" t="s">
        <v>23</v>
      </c>
      <c r="H1115">
        <v>1</v>
      </c>
      <c r="I1115">
        <v>18000</v>
      </c>
    </row>
    <row r="1116" spans="1:9" x14ac:dyDescent="0.3">
      <c r="A1116" s="1">
        <v>46146</v>
      </c>
      <c r="B1116">
        <v>2026</v>
      </c>
      <c r="C1116">
        <v>5</v>
      </c>
      <c r="D1116" t="s">
        <v>46</v>
      </c>
      <c r="E1116" t="s">
        <v>47</v>
      </c>
      <c r="F1116" t="s">
        <v>24</v>
      </c>
      <c r="G1116" t="s">
        <v>23</v>
      </c>
      <c r="H1116">
        <v>2</v>
      </c>
      <c r="I1116">
        <v>36000</v>
      </c>
    </row>
    <row r="1117" spans="1:9" x14ac:dyDescent="0.3">
      <c r="A1117" s="1">
        <v>46035</v>
      </c>
      <c r="B1117">
        <v>2026</v>
      </c>
      <c r="C1117">
        <v>1</v>
      </c>
      <c r="D1117" t="s">
        <v>49</v>
      </c>
      <c r="E1117" t="s">
        <v>47</v>
      </c>
      <c r="F1117" t="s">
        <v>24</v>
      </c>
      <c r="G1117" t="s">
        <v>23</v>
      </c>
      <c r="H1117">
        <v>4</v>
      </c>
      <c r="I1117">
        <v>72000</v>
      </c>
    </row>
    <row r="1118" spans="1:9" x14ac:dyDescent="0.3">
      <c r="A1118" s="1">
        <v>46300</v>
      </c>
      <c r="B1118">
        <v>2026</v>
      </c>
      <c r="C1118">
        <v>10</v>
      </c>
      <c r="D1118" t="s">
        <v>46</v>
      </c>
      <c r="E1118" t="s">
        <v>47</v>
      </c>
      <c r="F1118" t="s">
        <v>24</v>
      </c>
      <c r="G1118" t="s">
        <v>23</v>
      </c>
      <c r="H1118">
        <v>2</v>
      </c>
      <c r="I1118">
        <v>36000</v>
      </c>
    </row>
    <row r="1119" spans="1:9" x14ac:dyDescent="0.3">
      <c r="A1119" s="1">
        <v>46177</v>
      </c>
      <c r="B1119">
        <v>2026</v>
      </c>
      <c r="C1119">
        <v>6</v>
      </c>
      <c r="D1119" t="s">
        <v>48</v>
      </c>
      <c r="E1119" t="s">
        <v>43</v>
      </c>
      <c r="F1119" t="s">
        <v>24</v>
      </c>
      <c r="G1119" t="s">
        <v>23</v>
      </c>
      <c r="H1119">
        <v>5</v>
      </c>
      <c r="I1119">
        <v>90000</v>
      </c>
    </row>
    <row r="1120" spans="1:9" x14ac:dyDescent="0.3">
      <c r="A1120" s="1">
        <v>46180</v>
      </c>
      <c r="B1120">
        <v>2026</v>
      </c>
      <c r="C1120">
        <v>6</v>
      </c>
      <c r="D1120" t="s">
        <v>46</v>
      </c>
      <c r="E1120" t="s">
        <v>47</v>
      </c>
      <c r="F1120" t="s">
        <v>24</v>
      </c>
      <c r="G1120" t="s">
        <v>23</v>
      </c>
      <c r="H1120">
        <v>5</v>
      </c>
      <c r="I1120">
        <v>90000</v>
      </c>
    </row>
    <row r="1121" spans="1:9" x14ac:dyDescent="0.3">
      <c r="A1121" s="1">
        <v>46293</v>
      </c>
      <c r="B1121">
        <v>2026</v>
      </c>
      <c r="C1121">
        <v>9</v>
      </c>
      <c r="D1121" t="s">
        <v>40</v>
      </c>
      <c r="E1121" t="s">
        <v>41</v>
      </c>
      <c r="F1121" t="s">
        <v>24</v>
      </c>
      <c r="G1121" t="s">
        <v>23</v>
      </c>
      <c r="H1121">
        <v>4</v>
      </c>
      <c r="I1121">
        <v>72000</v>
      </c>
    </row>
    <row r="1122" spans="1:9" x14ac:dyDescent="0.3">
      <c r="A1122" s="1">
        <v>46147</v>
      </c>
      <c r="B1122">
        <v>2026</v>
      </c>
      <c r="C1122">
        <v>5</v>
      </c>
      <c r="D1122" t="s">
        <v>44</v>
      </c>
      <c r="E1122" t="s">
        <v>45</v>
      </c>
      <c r="F1122" t="s">
        <v>24</v>
      </c>
      <c r="G1122" t="s">
        <v>23</v>
      </c>
      <c r="H1122">
        <v>5</v>
      </c>
      <c r="I1122">
        <v>90000</v>
      </c>
    </row>
    <row r="1123" spans="1:9" x14ac:dyDescent="0.3">
      <c r="A1123" s="1">
        <v>46108</v>
      </c>
      <c r="B1123">
        <v>2026</v>
      </c>
      <c r="C1123">
        <v>3</v>
      </c>
      <c r="D1123" t="s">
        <v>50</v>
      </c>
      <c r="E1123" t="s">
        <v>41</v>
      </c>
      <c r="F1123" t="s">
        <v>24</v>
      </c>
      <c r="G1123" t="s">
        <v>23</v>
      </c>
      <c r="H1123">
        <v>3</v>
      </c>
      <c r="I1123">
        <v>54000</v>
      </c>
    </row>
    <row r="1124" spans="1:9" x14ac:dyDescent="0.3">
      <c r="A1124" s="1">
        <v>46290</v>
      </c>
      <c r="B1124">
        <v>2026</v>
      </c>
      <c r="C1124">
        <v>9</v>
      </c>
      <c r="D1124" t="s">
        <v>46</v>
      </c>
      <c r="E1124" t="s">
        <v>47</v>
      </c>
      <c r="F1124" t="s">
        <v>24</v>
      </c>
      <c r="G1124" t="s">
        <v>23</v>
      </c>
      <c r="H1124">
        <v>4</v>
      </c>
      <c r="I1124">
        <v>72000</v>
      </c>
    </row>
    <row r="1125" spans="1:9" x14ac:dyDescent="0.3">
      <c r="A1125" s="1">
        <v>46139</v>
      </c>
      <c r="B1125">
        <v>2026</v>
      </c>
      <c r="C1125">
        <v>4</v>
      </c>
      <c r="D1125" t="s">
        <v>42</v>
      </c>
      <c r="E1125" t="s">
        <v>43</v>
      </c>
      <c r="F1125" t="s">
        <v>24</v>
      </c>
      <c r="G1125" t="s">
        <v>23</v>
      </c>
      <c r="H1125">
        <v>3</v>
      </c>
      <c r="I1125">
        <v>54000</v>
      </c>
    </row>
    <row r="1126" spans="1:9" x14ac:dyDescent="0.3">
      <c r="A1126" s="1">
        <v>46065</v>
      </c>
      <c r="B1126">
        <v>2026</v>
      </c>
      <c r="C1126">
        <v>2</v>
      </c>
      <c r="D1126" t="s">
        <v>48</v>
      </c>
      <c r="E1126" t="s">
        <v>43</v>
      </c>
      <c r="F1126" t="s">
        <v>24</v>
      </c>
      <c r="G1126" t="s">
        <v>23</v>
      </c>
      <c r="H1126">
        <v>5</v>
      </c>
      <c r="I1126">
        <v>90000</v>
      </c>
    </row>
    <row r="1127" spans="1:9" x14ac:dyDescent="0.3">
      <c r="A1127" s="1">
        <v>46284</v>
      </c>
      <c r="B1127">
        <v>2026</v>
      </c>
      <c r="C1127">
        <v>9</v>
      </c>
      <c r="D1127" t="s">
        <v>40</v>
      </c>
      <c r="E1127" t="s">
        <v>41</v>
      </c>
      <c r="F1127" t="s">
        <v>24</v>
      </c>
      <c r="G1127" t="s">
        <v>23</v>
      </c>
      <c r="H1127">
        <v>3</v>
      </c>
      <c r="I1127">
        <v>54000</v>
      </c>
    </row>
    <row r="1128" spans="1:9" x14ac:dyDescent="0.3">
      <c r="A1128" s="1">
        <v>46066</v>
      </c>
      <c r="B1128">
        <v>2026</v>
      </c>
      <c r="C1128">
        <v>2</v>
      </c>
      <c r="D1128" t="s">
        <v>51</v>
      </c>
      <c r="E1128" t="s">
        <v>45</v>
      </c>
      <c r="F1128" t="s">
        <v>24</v>
      </c>
      <c r="G1128" t="s">
        <v>23</v>
      </c>
      <c r="H1128">
        <v>3</v>
      </c>
      <c r="I1128">
        <v>54000</v>
      </c>
    </row>
    <row r="1129" spans="1:9" x14ac:dyDescent="0.3">
      <c r="A1129" s="1">
        <v>46216</v>
      </c>
      <c r="B1129">
        <v>2026</v>
      </c>
      <c r="C1129">
        <v>7</v>
      </c>
      <c r="D1129" t="s">
        <v>46</v>
      </c>
      <c r="E1129" t="s">
        <v>47</v>
      </c>
      <c r="F1129" t="s">
        <v>24</v>
      </c>
      <c r="G1129" t="s">
        <v>23</v>
      </c>
      <c r="H1129">
        <v>4</v>
      </c>
      <c r="I1129">
        <v>72000</v>
      </c>
    </row>
    <row r="1130" spans="1:9" x14ac:dyDescent="0.3">
      <c r="A1130" s="1">
        <v>46173</v>
      </c>
      <c r="B1130">
        <v>2026</v>
      </c>
      <c r="C1130">
        <v>5</v>
      </c>
      <c r="D1130" t="s">
        <v>42</v>
      </c>
      <c r="E1130" t="s">
        <v>43</v>
      </c>
      <c r="F1130" t="s">
        <v>24</v>
      </c>
      <c r="G1130" t="s">
        <v>23</v>
      </c>
      <c r="H1130">
        <v>4</v>
      </c>
      <c r="I1130">
        <v>72000</v>
      </c>
    </row>
    <row r="1131" spans="1:9" x14ac:dyDescent="0.3">
      <c r="A1131" s="1">
        <v>46201</v>
      </c>
      <c r="B1131">
        <v>2026</v>
      </c>
      <c r="C1131">
        <v>6</v>
      </c>
      <c r="D1131" t="s">
        <v>49</v>
      </c>
      <c r="E1131" t="s">
        <v>47</v>
      </c>
      <c r="F1131" t="s">
        <v>24</v>
      </c>
      <c r="G1131" t="s">
        <v>23</v>
      </c>
      <c r="H1131">
        <v>4</v>
      </c>
      <c r="I1131">
        <v>72000</v>
      </c>
    </row>
    <row r="1132" spans="1:9" x14ac:dyDescent="0.3">
      <c r="A1132" s="1">
        <v>46054</v>
      </c>
      <c r="B1132">
        <v>2026</v>
      </c>
      <c r="C1132">
        <v>2</v>
      </c>
      <c r="D1132" t="s">
        <v>40</v>
      </c>
      <c r="E1132" t="s">
        <v>41</v>
      </c>
      <c r="F1132" t="s">
        <v>24</v>
      </c>
      <c r="G1132" t="s">
        <v>23</v>
      </c>
      <c r="H1132">
        <v>4</v>
      </c>
      <c r="I1132">
        <v>72000</v>
      </c>
    </row>
    <row r="1133" spans="1:9" x14ac:dyDescent="0.3">
      <c r="A1133" s="1">
        <v>46252</v>
      </c>
      <c r="B1133">
        <v>2026</v>
      </c>
      <c r="C1133">
        <v>8</v>
      </c>
      <c r="D1133" t="s">
        <v>48</v>
      </c>
      <c r="E1133" t="s">
        <v>43</v>
      </c>
      <c r="F1133" t="s">
        <v>24</v>
      </c>
      <c r="G1133" t="s">
        <v>23</v>
      </c>
      <c r="H1133">
        <v>2</v>
      </c>
      <c r="I1133">
        <v>36000</v>
      </c>
    </row>
    <row r="1134" spans="1:9" x14ac:dyDescent="0.3">
      <c r="A1134" s="1">
        <v>46294</v>
      </c>
      <c r="B1134">
        <v>2026</v>
      </c>
      <c r="C1134">
        <v>9</v>
      </c>
      <c r="D1134" t="s">
        <v>48</v>
      </c>
      <c r="E1134" t="s">
        <v>43</v>
      </c>
      <c r="F1134" t="s">
        <v>24</v>
      </c>
      <c r="G1134" t="s">
        <v>23</v>
      </c>
      <c r="H1134">
        <v>2</v>
      </c>
      <c r="I1134">
        <v>36000</v>
      </c>
    </row>
    <row r="1135" spans="1:9" x14ac:dyDescent="0.3">
      <c r="A1135" s="1">
        <v>46175</v>
      </c>
      <c r="B1135">
        <v>2026</v>
      </c>
      <c r="C1135">
        <v>6</v>
      </c>
      <c r="D1135" t="s">
        <v>46</v>
      </c>
      <c r="E1135" t="s">
        <v>47</v>
      </c>
      <c r="F1135" t="s">
        <v>24</v>
      </c>
      <c r="G1135" t="s">
        <v>23</v>
      </c>
      <c r="H1135">
        <v>3</v>
      </c>
      <c r="I1135">
        <v>54000</v>
      </c>
    </row>
    <row r="1136" spans="1:9" x14ac:dyDescent="0.3">
      <c r="A1136" s="1">
        <v>46242</v>
      </c>
      <c r="B1136">
        <v>2026</v>
      </c>
      <c r="C1136">
        <v>8</v>
      </c>
      <c r="D1136" t="s">
        <v>50</v>
      </c>
      <c r="E1136" t="s">
        <v>41</v>
      </c>
      <c r="F1136" t="s">
        <v>24</v>
      </c>
      <c r="G1136" t="s">
        <v>23</v>
      </c>
      <c r="H1136">
        <v>5</v>
      </c>
      <c r="I1136">
        <v>90000</v>
      </c>
    </row>
    <row r="1137" spans="1:9" x14ac:dyDescent="0.3">
      <c r="A1137" s="1">
        <v>46061</v>
      </c>
      <c r="B1137">
        <v>2026</v>
      </c>
      <c r="C1137">
        <v>2</v>
      </c>
      <c r="D1137" t="s">
        <v>46</v>
      </c>
      <c r="E1137" t="s">
        <v>47</v>
      </c>
      <c r="F1137" t="s">
        <v>24</v>
      </c>
      <c r="G1137" t="s">
        <v>23</v>
      </c>
      <c r="H1137">
        <v>3</v>
      </c>
      <c r="I1137">
        <v>54000</v>
      </c>
    </row>
    <row r="1138" spans="1:9" x14ac:dyDescent="0.3">
      <c r="A1138" s="1">
        <v>46124</v>
      </c>
      <c r="B1138">
        <v>2026</v>
      </c>
      <c r="C1138">
        <v>4</v>
      </c>
      <c r="D1138" t="s">
        <v>44</v>
      </c>
      <c r="E1138" t="s">
        <v>45</v>
      </c>
      <c r="F1138" t="s">
        <v>24</v>
      </c>
      <c r="G1138" t="s">
        <v>23</v>
      </c>
      <c r="H1138">
        <v>5</v>
      </c>
      <c r="I1138">
        <v>90000</v>
      </c>
    </row>
    <row r="1139" spans="1:9" x14ac:dyDescent="0.3">
      <c r="A1139" s="1">
        <v>46093</v>
      </c>
      <c r="B1139">
        <v>2026</v>
      </c>
      <c r="C1139">
        <v>3</v>
      </c>
      <c r="D1139" t="s">
        <v>44</v>
      </c>
      <c r="E1139" t="s">
        <v>45</v>
      </c>
      <c r="F1139" t="s">
        <v>24</v>
      </c>
      <c r="G1139" t="s">
        <v>23</v>
      </c>
      <c r="H1139">
        <v>3</v>
      </c>
      <c r="I1139">
        <v>54000</v>
      </c>
    </row>
    <row r="1140" spans="1:9" x14ac:dyDescent="0.3">
      <c r="A1140" s="1">
        <v>46191</v>
      </c>
      <c r="B1140">
        <v>2026</v>
      </c>
      <c r="C1140">
        <v>6</v>
      </c>
      <c r="D1140" t="s">
        <v>44</v>
      </c>
      <c r="E1140" t="s">
        <v>45</v>
      </c>
      <c r="F1140" t="s">
        <v>24</v>
      </c>
      <c r="G1140" t="s">
        <v>23</v>
      </c>
      <c r="H1140">
        <v>3</v>
      </c>
      <c r="I1140">
        <v>54000</v>
      </c>
    </row>
    <row r="1141" spans="1:9" x14ac:dyDescent="0.3">
      <c r="A1141" s="1">
        <v>46245</v>
      </c>
      <c r="B1141">
        <v>2026</v>
      </c>
      <c r="C1141">
        <v>8</v>
      </c>
      <c r="D1141" t="s">
        <v>49</v>
      </c>
      <c r="E1141" t="s">
        <v>47</v>
      </c>
      <c r="F1141" t="s">
        <v>24</v>
      </c>
      <c r="G1141" t="s">
        <v>23</v>
      </c>
      <c r="H1141">
        <v>1</v>
      </c>
      <c r="I1141">
        <v>18000</v>
      </c>
    </row>
    <row r="1142" spans="1:9" x14ac:dyDescent="0.3">
      <c r="A1142" s="1">
        <v>46203</v>
      </c>
      <c r="B1142">
        <v>2026</v>
      </c>
      <c r="C1142">
        <v>6</v>
      </c>
      <c r="D1142" t="s">
        <v>48</v>
      </c>
      <c r="E1142" t="s">
        <v>43</v>
      </c>
      <c r="F1142" t="s">
        <v>24</v>
      </c>
      <c r="G1142" t="s">
        <v>23</v>
      </c>
      <c r="H1142">
        <v>1</v>
      </c>
      <c r="I1142">
        <v>18000</v>
      </c>
    </row>
    <row r="1143" spans="1:9" x14ac:dyDescent="0.3">
      <c r="A1143" s="1">
        <v>46093</v>
      </c>
      <c r="B1143">
        <v>2026</v>
      </c>
      <c r="C1143">
        <v>3</v>
      </c>
      <c r="D1143" t="s">
        <v>51</v>
      </c>
      <c r="E1143" t="s">
        <v>45</v>
      </c>
      <c r="F1143" t="s">
        <v>24</v>
      </c>
      <c r="G1143" t="s">
        <v>23</v>
      </c>
      <c r="H1143">
        <v>1</v>
      </c>
      <c r="I1143">
        <v>18000</v>
      </c>
    </row>
    <row r="1144" spans="1:9" x14ac:dyDescent="0.3">
      <c r="A1144" s="1">
        <v>46051</v>
      </c>
      <c r="B1144">
        <v>2026</v>
      </c>
      <c r="C1144">
        <v>1</v>
      </c>
      <c r="D1144" t="s">
        <v>40</v>
      </c>
      <c r="E1144" t="s">
        <v>41</v>
      </c>
      <c r="F1144" t="s">
        <v>24</v>
      </c>
      <c r="G1144" t="s">
        <v>23</v>
      </c>
      <c r="H1144">
        <v>3</v>
      </c>
      <c r="I1144">
        <v>54000</v>
      </c>
    </row>
    <row r="1145" spans="1:9" x14ac:dyDescent="0.3">
      <c r="A1145" s="1">
        <v>46317</v>
      </c>
      <c r="B1145">
        <v>2026</v>
      </c>
      <c r="C1145">
        <v>10</v>
      </c>
      <c r="D1145" t="s">
        <v>44</v>
      </c>
      <c r="E1145" t="s">
        <v>45</v>
      </c>
      <c r="F1145" t="s">
        <v>24</v>
      </c>
      <c r="G1145" t="s">
        <v>23</v>
      </c>
      <c r="H1145">
        <v>4</v>
      </c>
      <c r="I1145">
        <v>72000</v>
      </c>
    </row>
    <row r="1146" spans="1:9" x14ac:dyDescent="0.3">
      <c r="A1146" s="1">
        <v>46074</v>
      </c>
      <c r="B1146">
        <v>2026</v>
      </c>
      <c r="C1146">
        <v>2</v>
      </c>
      <c r="D1146" t="s">
        <v>46</v>
      </c>
      <c r="E1146" t="s">
        <v>47</v>
      </c>
      <c r="F1146" t="s">
        <v>24</v>
      </c>
      <c r="G1146" t="s">
        <v>23</v>
      </c>
      <c r="H1146">
        <v>3</v>
      </c>
      <c r="I1146">
        <v>54000</v>
      </c>
    </row>
    <row r="1147" spans="1:9" x14ac:dyDescent="0.3">
      <c r="A1147" s="1">
        <v>46036</v>
      </c>
      <c r="B1147">
        <v>2026</v>
      </c>
      <c r="C1147">
        <v>1</v>
      </c>
      <c r="D1147" t="s">
        <v>46</v>
      </c>
      <c r="E1147" t="s">
        <v>47</v>
      </c>
      <c r="F1147" t="s">
        <v>24</v>
      </c>
      <c r="G1147" t="s">
        <v>23</v>
      </c>
      <c r="H1147">
        <v>2</v>
      </c>
      <c r="I1147">
        <v>36000</v>
      </c>
    </row>
    <row r="1148" spans="1:9" x14ac:dyDescent="0.3">
      <c r="A1148" s="1">
        <v>46121</v>
      </c>
      <c r="B1148">
        <v>2026</v>
      </c>
      <c r="C1148">
        <v>4</v>
      </c>
      <c r="D1148" t="s">
        <v>50</v>
      </c>
      <c r="E1148" t="s">
        <v>41</v>
      </c>
      <c r="F1148" t="s">
        <v>24</v>
      </c>
      <c r="G1148" t="s">
        <v>23</v>
      </c>
      <c r="H1148">
        <v>2</v>
      </c>
      <c r="I1148">
        <v>36000</v>
      </c>
    </row>
    <row r="1149" spans="1:9" x14ac:dyDescent="0.3">
      <c r="A1149" s="1">
        <v>46268</v>
      </c>
      <c r="B1149">
        <v>2026</v>
      </c>
      <c r="C1149">
        <v>9</v>
      </c>
      <c r="D1149" t="s">
        <v>44</v>
      </c>
      <c r="E1149" t="s">
        <v>45</v>
      </c>
      <c r="F1149" t="s">
        <v>24</v>
      </c>
      <c r="G1149" t="s">
        <v>23</v>
      </c>
      <c r="H1149">
        <v>1</v>
      </c>
      <c r="I1149">
        <v>18000</v>
      </c>
    </row>
    <row r="1150" spans="1:9" x14ac:dyDescent="0.3">
      <c r="A1150" s="1">
        <v>46023</v>
      </c>
      <c r="B1150">
        <v>2026</v>
      </c>
      <c r="C1150">
        <v>1</v>
      </c>
      <c r="D1150" t="s">
        <v>48</v>
      </c>
      <c r="E1150" t="s">
        <v>43</v>
      </c>
      <c r="F1150" t="s">
        <v>24</v>
      </c>
      <c r="G1150" t="s">
        <v>23</v>
      </c>
      <c r="H1150">
        <v>1</v>
      </c>
      <c r="I1150">
        <v>18000</v>
      </c>
    </row>
    <row r="1151" spans="1:9" x14ac:dyDescent="0.3">
      <c r="A1151" s="1">
        <v>46045</v>
      </c>
      <c r="B1151">
        <v>2026</v>
      </c>
      <c r="C1151">
        <v>1</v>
      </c>
      <c r="D1151" t="s">
        <v>49</v>
      </c>
      <c r="E1151" t="s">
        <v>47</v>
      </c>
      <c r="F1151" t="s">
        <v>24</v>
      </c>
      <c r="G1151" t="s">
        <v>23</v>
      </c>
      <c r="H1151">
        <v>2</v>
      </c>
      <c r="I1151">
        <v>36000</v>
      </c>
    </row>
    <row r="1152" spans="1:9" x14ac:dyDescent="0.3">
      <c r="A1152" s="1">
        <v>46028</v>
      </c>
      <c r="B1152">
        <v>2026</v>
      </c>
      <c r="C1152">
        <v>1</v>
      </c>
      <c r="D1152" t="s">
        <v>51</v>
      </c>
      <c r="E1152" t="s">
        <v>45</v>
      </c>
      <c r="F1152" t="s">
        <v>24</v>
      </c>
      <c r="G1152" t="s">
        <v>23</v>
      </c>
      <c r="H1152">
        <v>1</v>
      </c>
      <c r="I1152">
        <v>18000</v>
      </c>
    </row>
    <row r="1153" spans="1:9" x14ac:dyDescent="0.3">
      <c r="A1153" s="1">
        <v>46071</v>
      </c>
      <c r="B1153">
        <v>2026</v>
      </c>
      <c r="C1153">
        <v>2</v>
      </c>
      <c r="D1153" t="s">
        <v>49</v>
      </c>
      <c r="E1153" t="s">
        <v>47</v>
      </c>
      <c r="F1153" t="s">
        <v>24</v>
      </c>
      <c r="G1153" t="s">
        <v>23</v>
      </c>
      <c r="H1153">
        <v>4</v>
      </c>
      <c r="I1153">
        <v>72000</v>
      </c>
    </row>
    <row r="1154" spans="1:9" x14ac:dyDescent="0.3">
      <c r="A1154" s="1">
        <v>46233</v>
      </c>
      <c r="B1154">
        <v>2026</v>
      </c>
      <c r="C1154">
        <v>7</v>
      </c>
      <c r="D1154" t="s">
        <v>46</v>
      </c>
      <c r="E1154" t="s">
        <v>47</v>
      </c>
      <c r="F1154" t="s">
        <v>24</v>
      </c>
      <c r="G1154" t="s">
        <v>23</v>
      </c>
      <c r="H1154">
        <v>1</v>
      </c>
      <c r="I1154">
        <v>18000</v>
      </c>
    </row>
    <row r="1155" spans="1:9" x14ac:dyDescent="0.3">
      <c r="A1155" s="1">
        <v>46323</v>
      </c>
      <c r="B1155">
        <v>2026</v>
      </c>
      <c r="C1155">
        <v>10</v>
      </c>
      <c r="D1155" t="s">
        <v>48</v>
      </c>
      <c r="E1155" t="s">
        <v>43</v>
      </c>
      <c r="F1155" t="s">
        <v>24</v>
      </c>
      <c r="G1155" t="s">
        <v>23</v>
      </c>
      <c r="H1155">
        <v>3</v>
      </c>
      <c r="I1155">
        <v>54000</v>
      </c>
    </row>
    <row r="1156" spans="1:9" x14ac:dyDescent="0.3">
      <c r="A1156" s="1">
        <v>46190</v>
      </c>
      <c r="B1156">
        <v>2026</v>
      </c>
      <c r="C1156">
        <v>6</v>
      </c>
      <c r="D1156" t="s">
        <v>46</v>
      </c>
      <c r="E1156" t="s">
        <v>47</v>
      </c>
      <c r="F1156" t="s">
        <v>24</v>
      </c>
      <c r="G1156" t="s">
        <v>23</v>
      </c>
      <c r="H1156">
        <v>3</v>
      </c>
      <c r="I1156">
        <v>54000</v>
      </c>
    </row>
    <row r="1157" spans="1:9" x14ac:dyDescent="0.3">
      <c r="A1157" s="1">
        <v>46183</v>
      </c>
      <c r="B1157">
        <v>2026</v>
      </c>
      <c r="C1157">
        <v>6</v>
      </c>
      <c r="D1157" t="s">
        <v>48</v>
      </c>
      <c r="E1157" t="s">
        <v>43</v>
      </c>
      <c r="F1157" t="s">
        <v>24</v>
      </c>
      <c r="G1157" t="s">
        <v>23</v>
      </c>
      <c r="H1157">
        <v>4</v>
      </c>
      <c r="I1157">
        <v>72000</v>
      </c>
    </row>
    <row r="1158" spans="1:9" x14ac:dyDescent="0.3">
      <c r="A1158" s="1">
        <v>46031</v>
      </c>
      <c r="B1158">
        <v>2026</v>
      </c>
      <c r="C1158">
        <v>1</v>
      </c>
      <c r="D1158" t="s">
        <v>40</v>
      </c>
      <c r="E1158" t="s">
        <v>41</v>
      </c>
      <c r="F1158" t="s">
        <v>24</v>
      </c>
      <c r="G1158" t="s">
        <v>23</v>
      </c>
      <c r="H1158">
        <v>3</v>
      </c>
      <c r="I1158">
        <v>54000</v>
      </c>
    </row>
    <row r="1159" spans="1:9" x14ac:dyDescent="0.3">
      <c r="A1159" s="1">
        <v>46145</v>
      </c>
      <c r="B1159">
        <v>2026</v>
      </c>
      <c r="C1159">
        <v>5</v>
      </c>
      <c r="D1159" t="s">
        <v>40</v>
      </c>
      <c r="E1159" t="s">
        <v>41</v>
      </c>
      <c r="F1159" t="s">
        <v>24</v>
      </c>
      <c r="G1159" t="s">
        <v>23</v>
      </c>
      <c r="H1159">
        <v>5</v>
      </c>
      <c r="I1159">
        <v>90000</v>
      </c>
    </row>
    <row r="1160" spans="1:9" x14ac:dyDescent="0.3">
      <c r="A1160" s="1">
        <v>46087</v>
      </c>
      <c r="B1160">
        <v>2026</v>
      </c>
      <c r="C1160">
        <v>3</v>
      </c>
      <c r="D1160" t="s">
        <v>48</v>
      </c>
      <c r="E1160" t="s">
        <v>43</v>
      </c>
      <c r="F1160" t="s">
        <v>24</v>
      </c>
      <c r="G1160" t="s">
        <v>23</v>
      </c>
      <c r="H1160">
        <v>5</v>
      </c>
      <c r="I1160">
        <v>90000</v>
      </c>
    </row>
    <row r="1161" spans="1:9" x14ac:dyDescent="0.3">
      <c r="A1161" s="1">
        <v>46194</v>
      </c>
      <c r="B1161">
        <v>2026</v>
      </c>
      <c r="C1161">
        <v>6</v>
      </c>
      <c r="D1161" t="s">
        <v>46</v>
      </c>
      <c r="E1161" t="s">
        <v>47</v>
      </c>
      <c r="F1161" t="s">
        <v>24</v>
      </c>
      <c r="G1161" t="s">
        <v>23</v>
      </c>
      <c r="H1161">
        <v>4</v>
      </c>
      <c r="I1161">
        <v>72000</v>
      </c>
    </row>
    <row r="1162" spans="1:9" x14ac:dyDescent="0.3">
      <c r="A1162" s="1">
        <v>46075</v>
      </c>
      <c r="B1162">
        <v>2026</v>
      </c>
      <c r="C1162">
        <v>2</v>
      </c>
      <c r="D1162" t="s">
        <v>40</v>
      </c>
      <c r="E1162" t="s">
        <v>41</v>
      </c>
      <c r="F1162" t="s">
        <v>24</v>
      </c>
      <c r="G1162" t="s">
        <v>23</v>
      </c>
      <c r="H1162">
        <v>1</v>
      </c>
      <c r="I1162">
        <v>18000</v>
      </c>
    </row>
    <row r="1163" spans="1:9" x14ac:dyDescent="0.3">
      <c r="A1163" s="1">
        <v>46148</v>
      </c>
      <c r="B1163">
        <v>2026</v>
      </c>
      <c r="C1163">
        <v>5</v>
      </c>
      <c r="D1163" t="s">
        <v>50</v>
      </c>
      <c r="E1163" t="s">
        <v>41</v>
      </c>
      <c r="F1163" t="s">
        <v>24</v>
      </c>
      <c r="G1163" t="s">
        <v>23</v>
      </c>
      <c r="H1163">
        <v>3</v>
      </c>
      <c r="I1163">
        <v>54000</v>
      </c>
    </row>
    <row r="1164" spans="1:9" x14ac:dyDescent="0.3">
      <c r="A1164" s="1">
        <v>46076</v>
      </c>
      <c r="B1164">
        <v>2026</v>
      </c>
      <c r="C1164">
        <v>2</v>
      </c>
      <c r="D1164" t="s">
        <v>49</v>
      </c>
      <c r="E1164" t="s">
        <v>47</v>
      </c>
      <c r="F1164" t="s">
        <v>24</v>
      </c>
      <c r="G1164" t="s">
        <v>23</v>
      </c>
      <c r="H1164">
        <v>4</v>
      </c>
      <c r="I1164">
        <v>72000</v>
      </c>
    </row>
    <row r="1165" spans="1:9" x14ac:dyDescent="0.3">
      <c r="A1165" s="1">
        <v>46316</v>
      </c>
      <c r="B1165">
        <v>2026</v>
      </c>
      <c r="C1165">
        <v>10</v>
      </c>
      <c r="D1165" t="s">
        <v>40</v>
      </c>
      <c r="E1165" t="s">
        <v>41</v>
      </c>
      <c r="F1165" t="s">
        <v>24</v>
      </c>
      <c r="G1165" t="s">
        <v>23</v>
      </c>
      <c r="H1165">
        <v>1</v>
      </c>
      <c r="I1165">
        <v>18000</v>
      </c>
    </row>
    <row r="1166" spans="1:9" x14ac:dyDescent="0.3">
      <c r="A1166" s="1">
        <v>46199</v>
      </c>
      <c r="B1166">
        <v>2026</v>
      </c>
      <c r="C1166">
        <v>6</v>
      </c>
      <c r="D1166" t="s">
        <v>49</v>
      </c>
      <c r="E1166" t="s">
        <v>47</v>
      </c>
      <c r="F1166" t="s">
        <v>24</v>
      </c>
      <c r="G1166" t="s">
        <v>23</v>
      </c>
      <c r="H1166">
        <v>2</v>
      </c>
      <c r="I1166">
        <v>36000</v>
      </c>
    </row>
    <row r="1167" spans="1:9" x14ac:dyDescent="0.3">
      <c r="A1167" s="1">
        <v>46165</v>
      </c>
      <c r="B1167">
        <v>2026</v>
      </c>
      <c r="C1167">
        <v>5</v>
      </c>
      <c r="D1167" t="s">
        <v>40</v>
      </c>
      <c r="E1167" t="s">
        <v>41</v>
      </c>
      <c r="F1167" t="s">
        <v>24</v>
      </c>
      <c r="G1167" t="s">
        <v>23</v>
      </c>
      <c r="H1167">
        <v>2</v>
      </c>
      <c r="I1167">
        <v>36000</v>
      </c>
    </row>
    <row r="1168" spans="1:9" x14ac:dyDescent="0.3">
      <c r="A1168" s="1">
        <v>46106</v>
      </c>
      <c r="B1168">
        <v>2026</v>
      </c>
      <c r="C1168">
        <v>3</v>
      </c>
      <c r="D1168" t="s">
        <v>49</v>
      </c>
      <c r="E1168" t="s">
        <v>47</v>
      </c>
      <c r="F1168" t="s">
        <v>24</v>
      </c>
      <c r="G1168" t="s">
        <v>23</v>
      </c>
      <c r="H1168">
        <v>2</v>
      </c>
      <c r="I1168">
        <v>36000</v>
      </c>
    </row>
    <row r="1169" spans="1:9" x14ac:dyDescent="0.3">
      <c r="A1169" s="1">
        <v>46037</v>
      </c>
      <c r="B1169">
        <v>2026</v>
      </c>
      <c r="C1169">
        <v>1</v>
      </c>
      <c r="D1169" t="s">
        <v>44</v>
      </c>
      <c r="E1169" t="s">
        <v>45</v>
      </c>
      <c r="F1169" t="s">
        <v>24</v>
      </c>
      <c r="G1169" t="s">
        <v>23</v>
      </c>
      <c r="H1169">
        <v>5</v>
      </c>
      <c r="I1169">
        <v>90000</v>
      </c>
    </row>
    <row r="1170" spans="1:9" x14ac:dyDescent="0.3">
      <c r="A1170" s="1">
        <v>46030</v>
      </c>
      <c r="B1170">
        <v>2026</v>
      </c>
      <c r="C1170">
        <v>1</v>
      </c>
      <c r="D1170" t="s">
        <v>44</v>
      </c>
      <c r="E1170" t="s">
        <v>45</v>
      </c>
      <c r="F1170" t="s">
        <v>24</v>
      </c>
      <c r="G1170" t="s">
        <v>23</v>
      </c>
      <c r="H1170">
        <v>1</v>
      </c>
      <c r="I1170">
        <v>18000</v>
      </c>
    </row>
    <row r="1171" spans="1:9" x14ac:dyDescent="0.3">
      <c r="A1171" s="1">
        <v>46122</v>
      </c>
      <c r="B1171">
        <v>2026</v>
      </c>
      <c r="C1171">
        <v>4</v>
      </c>
      <c r="D1171" t="s">
        <v>48</v>
      </c>
      <c r="E1171" t="s">
        <v>43</v>
      </c>
      <c r="F1171" t="s">
        <v>24</v>
      </c>
      <c r="G1171" t="s">
        <v>23</v>
      </c>
      <c r="H1171">
        <v>3</v>
      </c>
      <c r="I1171">
        <v>54000</v>
      </c>
    </row>
    <row r="1172" spans="1:9" x14ac:dyDescent="0.3">
      <c r="A1172" s="1">
        <v>46178</v>
      </c>
      <c r="B1172">
        <v>2026</v>
      </c>
      <c r="C1172">
        <v>6</v>
      </c>
      <c r="D1172" t="s">
        <v>49</v>
      </c>
      <c r="E1172" t="s">
        <v>47</v>
      </c>
      <c r="F1172" t="s">
        <v>24</v>
      </c>
      <c r="G1172" t="s">
        <v>23</v>
      </c>
      <c r="H1172">
        <v>3</v>
      </c>
      <c r="I1172">
        <v>54000</v>
      </c>
    </row>
    <row r="1173" spans="1:9" x14ac:dyDescent="0.3">
      <c r="A1173" s="1">
        <v>46183</v>
      </c>
      <c r="B1173">
        <v>2026</v>
      </c>
      <c r="C1173">
        <v>6</v>
      </c>
      <c r="D1173" t="s">
        <v>51</v>
      </c>
      <c r="E1173" t="s">
        <v>45</v>
      </c>
      <c r="F1173" t="s">
        <v>24</v>
      </c>
      <c r="G1173" t="s">
        <v>23</v>
      </c>
      <c r="H1173">
        <v>2</v>
      </c>
      <c r="I1173">
        <v>36000</v>
      </c>
    </row>
    <row r="1174" spans="1:9" x14ac:dyDescent="0.3">
      <c r="A1174" s="1">
        <v>46311</v>
      </c>
      <c r="B1174">
        <v>2026</v>
      </c>
      <c r="C1174">
        <v>10</v>
      </c>
      <c r="D1174" t="s">
        <v>40</v>
      </c>
      <c r="E1174" t="s">
        <v>41</v>
      </c>
      <c r="F1174" t="s">
        <v>24</v>
      </c>
      <c r="G1174" t="s">
        <v>23</v>
      </c>
      <c r="H1174">
        <v>5</v>
      </c>
      <c r="I1174">
        <v>90000</v>
      </c>
    </row>
    <row r="1175" spans="1:9" x14ac:dyDescent="0.3">
      <c r="A1175" s="1">
        <v>46203</v>
      </c>
      <c r="B1175">
        <v>2026</v>
      </c>
      <c r="C1175">
        <v>6</v>
      </c>
      <c r="D1175" t="s">
        <v>40</v>
      </c>
      <c r="E1175" t="s">
        <v>41</v>
      </c>
      <c r="F1175" t="s">
        <v>24</v>
      </c>
      <c r="G1175" t="s">
        <v>23</v>
      </c>
      <c r="H1175">
        <v>5</v>
      </c>
      <c r="I1175">
        <v>90000</v>
      </c>
    </row>
    <row r="1176" spans="1:9" x14ac:dyDescent="0.3">
      <c r="A1176" s="1">
        <v>46185</v>
      </c>
      <c r="B1176">
        <v>2026</v>
      </c>
      <c r="C1176">
        <v>6</v>
      </c>
      <c r="D1176" t="s">
        <v>51</v>
      </c>
      <c r="E1176" t="s">
        <v>45</v>
      </c>
      <c r="F1176" t="s">
        <v>24</v>
      </c>
      <c r="G1176" t="s">
        <v>23</v>
      </c>
      <c r="H1176">
        <v>3</v>
      </c>
      <c r="I1176">
        <v>54000</v>
      </c>
    </row>
    <row r="1177" spans="1:9" x14ac:dyDescent="0.3">
      <c r="A1177" s="1">
        <v>46265</v>
      </c>
      <c r="B1177">
        <v>2026</v>
      </c>
      <c r="C1177">
        <v>8</v>
      </c>
      <c r="D1177" t="s">
        <v>46</v>
      </c>
      <c r="E1177" t="s">
        <v>47</v>
      </c>
      <c r="F1177" t="s">
        <v>24</v>
      </c>
      <c r="G1177" t="s">
        <v>23</v>
      </c>
      <c r="H1177">
        <v>2</v>
      </c>
      <c r="I1177">
        <v>36000</v>
      </c>
    </row>
    <row r="1178" spans="1:9" x14ac:dyDescent="0.3">
      <c r="A1178" s="1">
        <v>46044</v>
      </c>
      <c r="B1178">
        <v>2026</v>
      </c>
      <c r="C1178">
        <v>1</v>
      </c>
      <c r="D1178" t="s">
        <v>50</v>
      </c>
      <c r="E1178" t="s">
        <v>41</v>
      </c>
      <c r="F1178" t="s">
        <v>24</v>
      </c>
      <c r="G1178" t="s">
        <v>23</v>
      </c>
      <c r="H1178">
        <v>5</v>
      </c>
      <c r="I1178">
        <v>90000</v>
      </c>
    </row>
    <row r="1179" spans="1:9" x14ac:dyDescent="0.3">
      <c r="A1179" s="1">
        <v>46096</v>
      </c>
      <c r="B1179">
        <v>2026</v>
      </c>
      <c r="C1179">
        <v>3</v>
      </c>
      <c r="D1179" t="s">
        <v>51</v>
      </c>
      <c r="E1179" t="s">
        <v>45</v>
      </c>
      <c r="F1179" t="s">
        <v>24</v>
      </c>
      <c r="G1179" t="s">
        <v>23</v>
      </c>
      <c r="H1179">
        <v>2</v>
      </c>
      <c r="I1179">
        <v>36000</v>
      </c>
    </row>
    <row r="1180" spans="1:9" x14ac:dyDescent="0.3">
      <c r="A1180" s="1">
        <v>46185</v>
      </c>
      <c r="B1180">
        <v>2026</v>
      </c>
      <c r="C1180">
        <v>6</v>
      </c>
      <c r="D1180" t="s">
        <v>44</v>
      </c>
      <c r="E1180" t="s">
        <v>45</v>
      </c>
      <c r="F1180" t="s">
        <v>24</v>
      </c>
      <c r="G1180" t="s">
        <v>23</v>
      </c>
      <c r="H1180">
        <v>3</v>
      </c>
      <c r="I1180">
        <v>54000</v>
      </c>
    </row>
    <row r="1181" spans="1:9" x14ac:dyDescent="0.3">
      <c r="A1181" s="1">
        <v>46101</v>
      </c>
      <c r="B1181">
        <v>2026</v>
      </c>
      <c r="C1181">
        <v>3</v>
      </c>
      <c r="D1181" t="s">
        <v>40</v>
      </c>
      <c r="E1181" t="s">
        <v>41</v>
      </c>
      <c r="F1181" t="s">
        <v>24</v>
      </c>
      <c r="G1181" t="s">
        <v>23</v>
      </c>
      <c r="H1181">
        <v>5</v>
      </c>
      <c r="I1181">
        <v>90000</v>
      </c>
    </row>
    <row r="1182" spans="1:9" x14ac:dyDescent="0.3">
      <c r="A1182" s="1">
        <v>46223</v>
      </c>
      <c r="B1182">
        <v>2026</v>
      </c>
      <c r="C1182">
        <v>7</v>
      </c>
      <c r="D1182" t="s">
        <v>49</v>
      </c>
      <c r="E1182" t="s">
        <v>47</v>
      </c>
      <c r="F1182" t="s">
        <v>24</v>
      </c>
      <c r="G1182" t="s">
        <v>23</v>
      </c>
      <c r="H1182">
        <v>5</v>
      </c>
      <c r="I1182">
        <v>90000</v>
      </c>
    </row>
    <row r="1183" spans="1:9" x14ac:dyDescent="0.3">
      <c r="A1183" s="1">
        <v>46142</v>
      </c>
      <c r="B1183">
        <v>2026</v>
      </c>
      <c r="C1183">
        <v>4</v>
      </c>
      <c r="D1183" t="s">
        <v>49</v>
      </c>
      <c r="E1183" t="s">
        <v>47</v>
      </c>
      <c r="F1183" t="s">
        <v>24</v>
      </c>
      <c r="G1183" t="s">
        <v>23</v>
      </c>
      <c r="H1183">
        <v>5</v>
      </c>
      <c r="I1183">
        <v>90000</v>
      </c>
    </row>
    <row r="1184" spans="1:9" x14ac:dyDescent="0.3">
      <c r="A1184" s="1">
        <v>46134</v>
      </c>
      <c r="B1184">
        <v>2026</v>
      </c>
      <c r="C1184">
        <v>4</v>
      </c>
      <c r="D1184" t="s">
        <v>49</v>
      </c>
      <c r="E1184" t="s">
        <v>47</v>
      </c>
      <c r="F1184" t="s">
        <v>24</v>
      </c>
      <c r="G1184" t="s">
        <v>23</v>
      </c>
      <c r="H1184">
        <v>2</v>
      </c>
      <c r="I1184">
        <v>36000</v>
      </c>
    </row>
    <row r="1185" spans="1:9" x14ac:dyDescent="0.3">
      <c r="A1185" s="1">
        <v>46027</v>
      </c>
      <c r="B1185">
        <v>2026</v>
      </c>
      <c r="C1185">
        <v>1</v>
      </c>
      <c r="D1185" t="s">
        <v>46</v>
      </c>
      <c r="E1185" t="s">
        <v>47</v>
      </c>
      <c r="F1185" t="s">
        <v>24</v>
      </c>
      <c r="G1185" t="s">
        <v>23</v>
      </c>
      <c r="H1185">
        <v>1</v>
      </c>
      <c r="I1185">
        <v>18000</v>
      </c>
    </row>
    <row r="1186" spans="1:9" x14ac:dyDescent="0.3">
      <c r="A1186" s="1">
        <v>46058</v>
      </c>
      <c r="B1186">
        <v>2026</v>
      </c>
      <c r="C1186">
        <v>2</v>
      </c>
      <c r="D1186" t="s">
        <v>51</v>
      </c>
      <c r="E1186" t="s">
        <v>45</v>
      </c>
      <c r="F1186" t="s">
        <v>24</v>
      </c>
      <c r="G1186" t="s">
        <v>23</v>
      </c>
      <c r="H1186">
        <v>5</v>
      </c>
      <c r="I1186">
        <v>90000</v>
      </c>
    </row>
    <row r="1187" spans="1:9" x14ac:dyDescent="0.3">
      <c r="A1187" s="1">
        <v>46225</v>
      </c>
      <c r="B1187">
        <v>2026</v>
      </c>
      <c r="C1187">
        <v>7</v>
      </c>
      <c r="D1187" t="s">
        <v>44</v>
      </c>
      <c r="E1187" t="s">
        <v>45</v>
      </c>
      <c r="F1187" t="s">
        <v>24</v>
      </c>
      <c r="G1187" t="s">
        <v>23</v>
      </c>
      <c r="H1187">
        <v>1</v>
      </c>
      <c r="I1187">
        <v>18000</v>
      </c>
    </row>
    <row r="1188" spans="1:9" x14ac:dyDescent="0.3">
      <c r="A1188" s="1">
        <v>46271</v>
      </c>
      <c r="B1188">
        <v>2026</v>
      </c>
      <c r="C1188">
        <v>9</v>
      </c>
      <c r="D1188" t="s">
        <v>51</v>
      </c>
      <c r="E1188" t="s">
        <v>45</v>
      </c>
      <c r="F1188" t="s">
        <v>24</v>
      </c>
      <c r="G1188" t="s">
        <v>23</v>
      </c>
      <c r="H1188">
        <v>2</v>
      </c>
      <c r="I1188">
        <v>36000</v>
      </c>
    </row>
    <row r="1189" spans="1:9" x14ac:dyDescent="0.3">
      <c r="A1189" s="1">
        <v>46228</v>
      </c>
      <c r="B1189">
        <v>2026</v>
      </c>
      <c r="C1189">
        <v>7</v>
      </c>
      <c r="D1189" t="s">
        <v>42</v>
      </c>
      <c r="E1189" t="s">
        <v>43</v>
      </c>
      <c r="F1189" t="s">
        <v>24</v>
      </c>
      <c r="G1189" t="s">
        <v>23</v>
      </c>
      <c r="H1189">
        <v>3</v>
      </c>
      <c r="I1189">
        <v>54000</v>
      </c>
    </row>
    <row r="1190" spans="1:9" x14ac:dyDescent="0.3">
      <c r="A1190" s="1">
        <v>46030</v>
      </c>
      <c r="B1190">
        <v>2026</v>
      </c>
      <c r="C1190">
        <v>1</v>
      </c>
      <c r="D1190" t="s">
        <v>48</v>
      </c>
      <c r="E1190" t="s">
        <v>43</v>
      </c>
      <c r="F1190" t="s">
        <v>24</v>
      </c>
      <c r="G1190" t="s">
        <v>23</v>
      </c>
      <c r="H1190">
        <v>3</v>
      </c>
      <c r="I1190">
        <v>54000</v>
      </c>
    </row>
    <row r="1191" spans="1:9" x14ac:dyDescent="0.3">
      <c r="A1191" s="1">
        <v>46036</v>
      </c>
      <c r="B1191">
        <v>2026</v>
      </c>
      <c r="C1191">
        <v>1</v>
      </c>
      <c r="D1191" t="s">
        <v>42</v>
      </c>
      <c r="E1191" t="s">
        <v>43</v>
      </c>
      <c r="F1191" t="s">
        <v>24</v>
      </c>
      <c r="G1191" t="s">
        <v>23</v>
      </c>
      <c r="H1191">
        <v>2</v>
      </c>
      <c r="I1191">
        <v>36000</v>
      </c>
    </row>
    <row r="1192" spans="1:9" x14ac:dyDescent="0.3">
      <c r="A1192" s="1">
        <v>46114</v>
      </c>
      <c r="B1192">
        <v>2026</v>
      </c>
      <c r="C1192">
        <v>4</v>
      </c>
      <c r="D1192" t="s">
        <v>46</v>
      </c>
      <c r="E1192" t="s">
        <v>47</v>
      </c>
      <c r="F1192" t="s">
        <v>24</v>
      </c>
      <c r="G1192" t="s">
        <v>23</v>
      </c>
      <c r="H1192">
        <v>4</v>
      </c>
      <c r="I1192">
        <v>72000</v>
      </c>
    </row>
    <row r="1193" spans="1:9" x14ac:dyDescent="0.3">
      <c r="A1193" s="1">
        <v>46304</v>
      </c>
      <c r="B1193">
        <v>2026</v>
      </c>
      <c r="C1193">
        <v>10</v>
      </c>
      <c r="D1193" t="s">
        <v>40</v>
      </c>
      <c r="E1193" t="s">
        <v>41</v>
      </c>
      <c r="F1193" t="s">
        <v>24</v>
      </c>
      <c r="G1193" t="s">
        <v>23</v>
      </c>
      <c r="H1193">
        <v>4</v>
      </c>
      <c r="I1193">
        <v>72000</v>
      </c>
    </row>
    <row r="1194" spans="1:9" x14ac:dyDescent="0.3">
      <c r="A1194" s="1">
        <v>46177</v>
      </c>
      <c r="B1194">
        <v>2026</v>
      </c>
      <c r="C1194">
        <v>6</v>
      </c>
      <c r="D1194" t="s">
        <v>50</v>
      </c>
      <c r="E1194" t="s">
        <v>41</v>
      </c>
      <c r="F1194" t="s">
        <v>24</v>
      </c>
      <c r="G1194" t="s">
        <v>23</v>
      </c>
      <c r="H1194">
        <v>5</v>
      </c>
      <c r="I1194">
        <v>90000</v>
      </c>
    </row>
    <row r="1195" spans="1:9" x14ac:dyDescent="0.3">
      <c r="A1195" s="1">
        <v>46281</v>
      </c>
      <c r="B1195">
        <v>2026</v>
      </c>
      <c r="C1195">
        <v>9</v>
      </c>
      <c r="D1195" t="s">
        <v>51</v>
      </c>
      <c r="E1195" t="s">
        <v>45</v>
      </c>
      <c r="F1195" t="s">
        <v>24</v>
      </c>
      <c r="G1195" t="s">
        <v>23</v>
      </c>
      <c r="H1195">
        <v>2</v>
      </c>
      <c r="I1195">
        <v>36000</v>
      </c>
    </row>
    <row r="1196" spans="1:9" x14ac:dyDescent="0.3">
      <c r="A1196" s="1">
        <v>46294</v>
      </c>
      <c r="B1196">
        <v>2026</v>
      </c>
      <c r="C1196">
        <v>9</v>
      </c>
      <c r="D1196" t="s">
        <v>48</v>
      </c>
      <c r="E1196" t="s">
        <v>43</v>
      </c>
      <c r="F1196" t="s">
        <v>24</v>
      </c>
      <c r="G1196" t="s">
        <v>23</v>
      </c>
      <c r="H1196">
        <v>3</v>
      </c>
      <c r="I1196">
        <v>54000</v>
      </c>
    </row>
    <row r="1197" spans="1:9" x14ac:dyDescent="0.3">
      <c r="A1197" s="1">
        <v>46188</v>
      </c>
      <c r="B1197">
        <v>2026</v>
      </c>
      <c r="C1197">
        <v>6</v>
      </c>
      <c r="D1197" t="s">
        <v>42</v>
      </c>
      <c r="E1197" t="s">
        <v>43</v>
      </c>
      <c r="F1197" t="s">
        <v>24</v>
      </c>
      <c r="G1197" t="s">
        <v>23</v>
      </c>
      <c r="H1197">
        <v>1</v>
      </c>
      <c r="I1197">
        <v>18000</v>
      </c>
    </row>
    <row r="1198" spans="1:9" x14ac:dyDescent="0.3">
      <c r="A1198" s="1">
        <v>46319</v>
      </c>
      <c r="B1198">
        <v>2026</v>
      </c>
      <c r="C1198">
        <v>10</v>
      </c>
      <c r="D1198" t="s">
        <v>50</v>
      </c>
      <c r="E1198" t="s">
        <v>41</v>
      </c>
      <c r="F1198" t="s">
        <v>24</v>
      </c>
      <c r="G1198" t="s">
        <v>23</v>
      </c>
      <c r="H1198">
        <v>4</v>
      </c>
      <c r="I1198">
        <v>72000</v>
      </c>
    </row>
    <row r="1199" spans="1:9" x14ac:dyDescent="0.3">
      <c r="A1199" s="1">
        <v>46172</v>
      </c>
      <c r="B1199">
        <v>2026</v>
      </c>
      <c r="C1199">
        <v>5</v>
      </c>
      <c r="D1199" t="s">
        <v>46</v>
      </c>
      <c r="E1199" t="s">
        <v>47</v>
      </c>
      <c r="F1199" t="s">
        <v>24</v>
      </c>
      <c r="G1199" t="s">
        <v>23</v>
      </c>
      <c r="H1199">
        <v>3</v>
      </c>
      <c r="I1199">
        <v>54000</v>
      </c>
    </row>
    <row r="1200" spans="1:9" x14ac:dyDescent="0.3">
      <c r="A1200" s="1">
        <v>46316</v>
      </c>
      <c r="B1200">
        <v>2026</v>
      </c>
      <c r="C1200">
        <v>10</v>
      </c>
      <c r="D1200" t="s">
        <v>48</v>
      </c>
      <c r="E1200" t="s">
        <v>43</v>
      </c>
      <c r="F1200" t="s">
        <v>24</v>
      </c>
      <c r="G1200" t="s">
        <v>23</v>
      </c>
      <c r="H1200">
        <v>4</v>
      </c>
      <c r="I1200">
        <v>72000</v>
      </c>
    </row>
    <row r="1201" spans="1:9" x14ac:dyDescent="0.3">
      <c r="A1201" s="1">
        <v>46143</v>
      </c>
      <c r="B1201">
        <v>2026</v>
      </c>
      <c r="C1201">
        <v>5</v>
      </c>
      <c r="D1201" t="s">
        <v>42</v>
      </c>
      <c r="E1201" t="s">
        <v>43</v>
      </c>
      <c r="F1201" t="s">
        <v>24</v>
      </c>
      <c r="G1201" t="s">
        <v>23</v>
      </c>
      <c r="H1201">
        <v>1</v>
      </c>
      <c r="I1201">
        <v>18000</v>
      </c>
    </row>
    <row r="1202" spans="1:9" x14ac:dyDescent="0.3">
      <c r="A1202" s="1">
        <v>46065</v>
      </c>
      <c r="B1202">
        <v>2026</v>
      </c>
      <c r="C1202">
        <v>2</v>
      </c>
      <c r="D1202" t="s">
        <v>49</v>
      </c>
      <c r="E1202" t="s">
        <v>47</v>
      </c>
      <c r="F1202" t="s">
        <v>24</v>
      </c>
      <c r="G1202" t="s">
        <v>23</v>
      </c>
      <c r="H1202">
        <v>3</v>
      </c>
      <c r="I1202">
        <v>54000</v>
      </c>
    </row>
    <row r="1203" spans="1:9" x14ac:dyDescent="0.3">
      <c r="A1203" s="1">
        <v>46241</v>
      </c>
      <c r="B1203">
        <v>2026</v>
      </c>
      <c r="C1203">
        <v>8</v>
      </c>
      <c r="D1203" t="s">
        <v>44</v>
      </c>
      <c r="E1203" t="s">
        <v>45</v>
      </c>
      <c r="F1203" t="s">
        <v>24</v>
      </c>
      <c r="G1203" t="s">
        <v>23</v>
      </c>
      <c r="H1203">
        <v>1</v>
      </c>
      <c r="I1203">
        <v>18000</v>
      </c>
    </row>
    <row r="1204" spans="1:9" x14ac:dyDescent="0.3">
      <c r="A1204" s="1">
        <v>46151</v>
      </c>
      <c r="B1204">
        <v>2026</v>
      </c>
      <c r="C1204">
        <v>5</v>
      </c>
      <c r="D1204" t="s">
        <v>46</v>
      </c>
      <c r="E1204" t="s">
        <v>47</v>
      </c>
      <c r="F1204" t="s">
        <v>24</v>
      </c>
      <c r="G1204" t="s">
        <v>23</v>
      </c>
      <c r="H1204">
        <v>4</v>
      </c>
      <c r="I1204">
        <v>72000</v>
      </c>
    </row>
    <row r="1205" spans="1:9" x14ac:dyDescent="0.3">
      <c r="A1205" s="1">
        <v>46261</v>
      </c>
      <c r="B1205">
        <v>2026</v>
      </c>
      <c r="C1205">
        <v>8</v>
      </c>
      <c r="D1205" t="s">
        <v>40</v>
      </c>
      <c r="E1205" t="s">
        <v>41</v>
      </c>
      <c r="F1205" t="s">
        <v>24</v>
      </c>
      <c r="G1205" t="s">
        <v>23</v>
      </c>
      <c r="H1205">
        <v>3</v>
      </c>
      <c r="I1205">
        <v>54000</v>
      </c>
    </row>
    <row r="1206" spans="1:9" x14ac:dyDescent="0.3">
      <c r="A1206" s="1">
        <v>46031</v>
      </c>
      <c r="B1206">
        <v>2026</v>
      </c>
      <c r="C1206">
        <v>1</v>
      </c>
      <c r="D1206" t="s">
        <v>50</v>
      </c>
      <c r="E1206" t="s">
        <v>41</v>
      </c>
      <c r="F1206" t="s">
        <v>24</v>
      </c>
      <c r="G1206" t="s">
        <v>23</v>
      </c>
      <c r="H1206">
        <v>4</v>
      </c>
      <c r="I1206">
        <v>72000</v>
      </c>
    </row>
    <row r="1207" spans="1:9" x14ac:dyDescent="0.3">
      <c r="A1207" s="1">
        <v>46294</v>
      </c>
      <c r="B1207">
        <v>2026</v>
      </c>
      <c r="C1207">
        <v>9</v>
      </c>
      <c r="D1207" t="s">
        <v>42</v>
      </c>
      <c r="E1207" t="s">
        <v>43</v>
      </c>
      <c r="F1207" t="s">
        <v>24</v>
      </c>
      <c r="G1207" t="s">
        <v>23</v>
      </c>
      <c r="H1207">
        <v>4</v>
      </c>
      <c r="I1207">
        <v>72000</v>
      </c>
    </row>
    <row r="1208" spans="1:9" x14ac:dyDescent="0.3">
      <c r="A1208" s="1">
        <v>46177</v>
      </c>
      <c r="B1208">
        <v>2026</v>
      </c>
      <c r="C1208">
        <v>6</v>
      </c>
      <c r="D1208" t="s">
        <v>46</v>
      </c>
      <c r="E1208" t="s">
        <v>47</v>
      </c>
      <c r="F1208" t="s">
        <v>24</v>
      </c>
      <c r="G1208" t="s">
        <v>23</v>
      </c>
      <c r="H1208">
        <v>5</v>
      </c>
      <c r="I1208">
        <v>90000</v>
      </c>
    </row>
    <row r="1209" spans="1:9" x14ac:dyDescent="0.3">
      <c r="A1209" s="1">
        <v>46146</v>
      </c>
      <c r="B1209">
        <v>2026</v>
      </c>
      <c r="C1209">
        <v>5</v>
      </c>
      <c r="D1209" t="s">
        <v>42</v>
      </c>
      <c r="E1209" t="s">
        <v>43</v>
      </c>
      <c r="F1209" t="s">
        <v>24</v>
      </c>
      <c r="G1209" t="s">
        <v>23</v>
      </c>
      <c r="H1209">
        <v>2</v>
      </c>
      <c r="I1209">
        <v>36000</v>
      </c>
    </row>
    <row r="1210" spans="1:9" x14ac:dyDescent="0.3">
      <c r="A1210" s="1">
        <v>46080</v>
      </c>
      <c r="B1210">
        <v>2026</v>
      </c>
      <c r="C1210">
        <v>2</v>
      </c>
      <c r="D1210" t="s">
        <v>49</v>
      </c>
      <c r="E1210" t="s">
        <v>47</v>
      </c>
      <c r="F1210" t="s">
        <v>24</v>
      </c>
      <c r="G1210" t="s">
        <v>23</v>
      </c>
      <c r="H1210">
        <v>4</v>
      </c>
      <c r="I1210">
        <v>72000</v>
      </c>
    </row>
    <row r="1211" spans="1:9" x14ac:dyDescent="0.3">
      <c r="A1211" s="1">
        <v>46039</v>
      </c>
      <c r="B1211">
        <v>2026</v>
      </c>
      <c r="C1211">
        <v>1</v>
      </c>
      <c r="D1211" t="s">
        <v>40</v>
      </c>
      <c r="E1211" t="s">
        <v>41</v>
      </c>
      <c r="F1211" t="s">
        <v>24</v>
      </c>
      <c r="G1211" t="s">
        <v>23</v>
      </c>
      <c r="H1211">
        <v>3</v>
      </c>
      <c r="I1211">
        <v>54000</v>
      </c>
    </row>
    <row r="1212" spans="1:9" x14ac:dyDescent="0.3">
      <c r="A1212" s="1">
        <v>46165</v>
      </c>
      <c r="B1212">
        <v>2026</v>
      </c>
      <c r="C1212">
        <v>5</v>
      </c>
      <c r="D1212" t="s">
        <v>50</v>
      </c>
      <c r="E1212" t="s">
        <v>41</v>
      </c>
      <c r="F1212" t="s">
        <v>24</v>
      </c>
      <c r="G1212" t="s">
        <v>23</v>
      </c>
      <c r="H1212">
        <v>4</v>
      </c>
      <c r="I1212">
        <v>72000</v>
      </c>
    </row>
    <row r="1213" spans="1:9" x14ac:dyDescent="0.3">
      <c r="A1213" s="1">
        <v>46087</v>
      </c>
      <c r="B1213">
        <v>2026</v>
      </c>
      <c r="C1213">
        <v>3</v>
      </c>
      <c r="D1213" t="s">
        <v>42</v>
      </c>
      <c r="E1213" t="s">
        <v>43</v>
      </c>
      <c r="F1213" t="s">
        <v>24</v>
      </c>
      <c r="G1213" t="s">
        <v>23</v>
      </c>
      <c r="H1213">
        <v>3</v>
      </c>
      <c r="I1213">
        <v>54000</v>
      </c>
    </row>
    <row r="1214" spans="1:9" x14ac:dyDescent="0.3">
      <c r="A1214" s="1">
        <v>46102</v>
      </c>
      <c r="B1214">
        <v>2026</v>
      </c>
      <c r="C1214">
        <v>3</v>
      </c>
      <c r="D1214" t="s">
        <v>44</v>
      </c>
      <c r="E1214" t="s">
        <v>45</v>
      </c>
      <c r="F1214" t="s">
        <v>24</v>
      </c>
      <c r="G1214" t="s">
        <v>23</v>
      </c>
      <c r="H1214">
        <v>1</v>
      </c>
      <c r="I1214">
        <v>18000</v>
      </c>
    </row>
    <row r="1215" spans="1:9" x14ac:dyDescent="0.3">
      <c r="A1215" s="1">
        <v>46186</v>
      </c>
      <c r="B1215">
        <v>2026</v>
      </c>
      <c r="C1215">
        <v>6</v>
      </c>
      <c r="D1215" t="s">
        <v>51</v>
      </c>
      <c r="E1215" t="s">
        <v>45</v>
      </c>
      <c r="F1215" t="s">
        <v>24</v>
      </c>
      <c r="G1215" t="s">
        <v>23</v>
      </c>
      <c r="H1215">
        <v>2</v>
      </c>
      <c r="I1215">
        <v>36000</v>
      </c>
    </row>
    <row r="1216" spans="1:9" x14ac:dyDescent="0.3">
      <c r="A1216" s="1">
        <v>46153</v>
      </c>
      <c r="B1216">
        <v>2026</v>
      </c>
      <c r="C1216">
        <v>5</v>
      </c>
      <c r="D1216" t="s">
        <v>51</v>
      </c>
      <c r="E1216" t="s">
        <v>45</v>
      </c>
      <c r="F1216" t="s">
        <v>24</v>
      </c>
      <c r="G1216" t="s">
        <v>23</v>
      </c>
      <c r="H1216">
        <v>1</v>
      </c>
      <c r="I1216">
        <v>18000</v>
      </c>
    </row>
    <row r="1217" spans="1:9" x14ac:dyDescent="0.3">
      <c r="A1217" s="1">
        <v>46209</v>
      </c>
      <c r="B1217">
        <v>2026</v>
      </c>
      <c r="C1217">
        <v>7</v>
      </c>
      <c r="D1217" t="s">
        <v>51</v>
      </c>
      <c r="E1217" t="s">
        <v>45</v>
      </c>
      <c r="F1217" t="s">
        <v>24</v>
      </c>
      <c r="G1217" t="s">
        <v>23</v>
      </c>
      <c r="H1217">
        <v>2</v>
      </c>
      <c r="I1217">
        <v>36000</v>
      </c>
    </row>
    <row r="1218" spans="1:9" x14ac:dyDescent="0.3">
      <c r="A1218" s="1">
        <v>46177</v>
      </c>
      <c r="B1218">
        <v>2026</v>
      </c>
      <c r="C1218">
        <v>6</v>
      </c>
      <c r="D1218" t="s">
        <v>42</v>
      </c>
      <c r="E1218" t="s">
        <v>43</v>
      </c>
      <c r="F1218" t="s">
        <v>24</v>
      </c>
      <c r="G1218" t="s">
        <v>23</v>
      </c>
      <c r="H1218">
        <v>1</v>
      </c>
      <c r="I1218">
        <v>18000</v>
      </c>
    </row>
    <row r="1219" spans="1:9" x14ac:dyDescent="0.3">
      <c r="A1219" s="1">
        <v>46049</v>
      </c>
      <c r="B1219">
        <v>2026</v>
      </c>
      <c r="C1219">
        <v>1</v>
      </c>
      <c r="D1219" t="s">
        <v>46</v>
      </c>
      <c r="E1219" t="s">
        <v>47</v>
      </c>
      <c r="F1219" t="s">
        <v>24</v>
      </c>
      <c r="G1219" t="s">
        <v>23</v>
      </c>
      <c r="H1219">
        <v>4</v>
      </c>
      <c r="I1219">
        <v>72000</v>
      </c>
    </row>
    <row r="1220" spans="1:9" x14ac:dyDescent="0.3">
      <c r="A1220" s="1">
        <v>46253</v>
      </c>
      <c r="B1220">
        <v>2026</v>
      </c>
      <c r="C1220">
        <v>8</v>
      </c>
      <c r="D1220" t="s">
        <v>46</v>
      </c>
      <c r="E1220" t="s">
        <v>47</v>
      </c>
      <c r="F1220" t="s">
        <v>24</v>
      </c>
      <c r="G1220" t="s">
        <v>23</v>
      </c>
      <c r="H1220">
        <v>2</v>
      </c>
      <c r="I1220">
        <v>36000</v>
      </c>
    </row>
    <row r="1221" spans="1:9" x14ac:dyDescent="0.3">
      <c r="A1221" s="1">
        <v>46189</v>
      </c>
      <c r="B1221">
        <v>2026</v>
      </c>
      <c r="C1221">
        <v>6</v>
      </c>
      <c r="D1221" t="s">
        <v>48</v>
      </c>
      <c r="E1221" t="s">
        <v>43</v>
      </c>
      <c r="F1221" t="s">
        <v>24</v>
      </c>
      <c r="G1221" t="s">
        <v>23</v>
      </c>
      <c r="H1221">
        <v>5</v>
      </c>
      <c r="I1221">
        <v>90000</v>
      </c>
    </row>
    <row r="1222" spans="1:9" x14ac:dyDescent="0.3">
      <c r="A1222" s="1">
        <v>46034</v>
      </c>
      <c r="B1222">
        <v>2026</v>
      </c>
      <c r="C1222">
        <v>1</v>
      </c>
      <c r="D1222" t="s">
        <v>44</v>
      </c>
      <c r="E1222" t="s">
        <v>45</v>
      </c>
      <c r="F1222" t="s">
        <v>24</v>
      </c>
      <c r="G1222" t="s">
        <v>23</v>
      </c>
      <c r="H1222">
        <v>1</v>
      </c>
      <c r="I1222">
        <v>18000</v>
      </c>
    </row>
    <row r="1223" spans="1:9" x14ac:dyDescent="0.3">
      <c r="A1223" s="1">
        <v>46253</v>
      </c>
      <c r="B1223">
        <v>2026</v>
      </c>
      <c r="C1223">
        <v>8</v>
      </c>
      <c r="D1223" t="s">
        <v>42</v>
      </c>
      <c r="E1223" t="s">
        <v>43</v>
      </c>
      <c r="F1223" t="s">
        <v>24</v>
      </c>
      <c r="G1223" t="s">
        <v>23</v>
      </c>
      <c r="H1223">
        <v>5</v>
      </c>
      <c r="I1223">
        <v>90000</v>
      </c>
    </row>
    <row r="1224" spans="1:9" x14ac:dyDescent="0.3">
      <c r="A1224" s="1">
        <v>46111</v>
      </c>
      <c r="B1224">
        <v>2026</v>
      </c>
      <c r="C1224">
        <v>3</v>
      </c>
      <c r="D1224" t="s">
        <v>48</v>
      </c>
      <c r="E1224" t="s">
        <v>43</v>
      </c>
      <c r="F1224" t="s">
        <v>24</v>
      </c>
      <c r="G1224" t="s">
        <v>23</v>
      </c>
      <c r="H1224">
        <v>1</v>
      </c>
      <c r="I1224">
        <v>18000</v>
      </c>
    </row>
    <row r="1225" spans="1:9" x14ac:dyDescent="0.3">
      <c r="A1225" s="1">
        <v>46307</v>
      </c>
      <c r="B1225">
        <v>2026</v>
      </c>
      <c r="C1225">
        <v>10</v>
      </c>
      <c r="D1225" t="s">
        <v>49</v>
      </c>
      <c r="E1225" t="s">
        <v>47</v>
      </c>
      <c r="F1225" t="s">
        <v>24</v>
      </c>
      <c r="G1225" t="s">
        <v>23</v>
      </c>
      <c r="H1225">
        <v>2</v>
      </c>
      <c r="I1225">
        <v>36000</v>
      </c>
    </row>
    <row r="1226" spans="1:9" x14ac:dyDescent="0.3">
      <c r="A1226" s="1">
        <v>46178</v>
      </c>
      <c r="B1226">
        <v>2026</v>
      </c>
      <c r="C1226">
        <v>6</v>
      </c>
      <c r="D1226" t="s">
        <v>42</v>
      </c>
      <c r="E1226" t="s">
        <v>43</v>
      </c>
      <c r="F1226" t="s">
        <v>24</v>
      </c>
      <c r="G1226" t="s">
        <v>23</v>
      </c>
      <c r="H1226">
        <v>2</v>
      </c>
      <c r="I1226">
        <v>36000</v>
      </c>
    </row>
    <row r="1227" spans="1:9" x14ac:dyDescent="0.3">
      <c r="A1227" s="1">
        <v>46047</v>
      </c>
      <c r="B1227">
        <v>2026</v>
      </c>
      <c r="C1227">
        <v>1</v>
      </c>
      <c r="D1227" t="s">
        <v>48</v>
      </c>
      <c r="E1227" t="s">
        <v>43</v>
      </c>
      <c r="F1227" t="s">
        <v>24</v>
      </c>
      <c r="G1227" t="s">
        <v>23</v>
      </c>
      <c r="H1227">
        <v>3</v>
      </c>
      <c r="I1227">
        <v>54000</v>
      </c>
    </row>
    <row r="1228" spans="1:9" x14ac:dyDescent="0.3">
      <c r="A1228" s="1">
        <v>46107</v>
      </c>
      <c r="B1228">
        <v>2026</v>
      </c>
      <c r="C1228">
        <v>3</v>
      </c>
      <c r="D1228" t="s">
        <v>42</v>
      </c>
      <c r="E1228" t="s">
        <v>43</v>
      </c>
      <c r="F1228" t="s">
        <v>24</v>
      </c>
      <c r="G1228" t="s">
        <v>23</v>
      </c>
      <c r="H1228">
        <v>5</v>
      </c>
      <c r="I1228">
        <v>90000</v>
      </c>
    </row>
    <row r="1229" spans="1:9" x14ac:dyDescent="0.3">
      <c r="A1229" s="1">
        <v>46318</v>
      </c>
      <c r="B1229">
        <v>2026</v>
      </c>
      <c r="C1229">
        <v>10</v>
      </c>
      <c r="D1229" t="s">
        <v>46</v>
      </c>
      <c r="E1229" t="s">
        <v>47</v>
      </c>
      <c r="F1229" t="s">
        <v>24</v>
      </c>
      <c r="G1229" t="s">
        <v>23</v>
      </c>
      <c r="H1229">
        <v>3</v>
      </c>
      <c r="I1229">
        <v>54000</v>
      </c>
    </row>
    <row r="1230" spans="1:9" x14ac:dyDescent="0.3">
      <c r="A1230" s="1">
        <v>46034</v>
      </c>
      <c r="B1230">
        <v>2026</v>
      </c>
      <c r="C1230">
        <v>1</v>
      </c>
      <c r="D1230" t="s">
        <v>50</v>
      </c>
      <c r="E1230" t="s">
        <v>41</v>
      </c>
      <c r="F1230" t="s">
        <v>24</v>
      </c>
      <c r="G1230" t="s">
        <v>23</v>
      </c>
      <c r="H1230">
        <v>3</v>
      </c>
      <c r="I1230">
        <v>54000</v>
      </c>
    </row>
    <row r="1231" spans="1:9" x14ac:dyDescent="0.3">
      <c r="A1231" s="1">
        <v>46234</v>
      </c>
      <c r="B1231">
        <v>2026</v>
      </c>
      <c r="C1231">
        <v>7</v>
      </c>
      <c r="D1231" t="s">
        <v>51</v>
      </c>
      <c r="E1231" t="s">
        <v>45</v>
      </c>
      <c r="F1231" t="s">
        <v>24</v>
      </c>
      <c r="G1231" t="s">
        <v>23</v>
      </c>
      <c r="H1231">
        <v>3</v>
      </c>
      <c r="I1231">
        <v>54000</v>
      </c>
    </row>
    <row r="1232" spans="1:9" x14ac:dyDescent="0.3">
      <c r="A1232" s="1">
        <v>46152</v>
      </c>
      <c r="B1232">
        <v>2026</v>
      </c>
      <c r="C1232">
        <v>5</v>
      </c>
      <c r="D1232" t="s">
        <v>42</v>
      </c>
      <c r="E1232" t="s">
        <v>43</v>
      </c>
      <c r="F1232" t="s">
        <v>24</v>
      </c>
      <c r="G1232" t="s">
        <v>23</v>
      </c>
      <c r="H1232">
        <v>5</v>
      </c>
      <c r="I1232">
        <v>90000</v>
      </c>
    </row>
    <row r="1233" spans="1:9" x14ac:dyDescent="0.3">
      <c r="A1233" s="1">
        <v>46308</v>
      </c>
      <c r="B1233">
        <v>2026</v>
      </c>
      <c r="C1233">
        <v>10</v>
      </c>
      <c r="D1233" t="s">
        <v>42</v>
      </c>
      <c r="E1233" t="s">
        <v>43</v>
      </c>
      <c r="F1233" t="s">
        <v>24</v>
      </c>
      <c r="G1233" t="s">
        <v>23</v>
      </c>
      <c r="H1233">
        <v>4</v>
      </c>
      <c r="I1233">
        <v>72000</v>
      </c>
    </row>
    <row r="1234" spans="1:9" x14ac:dyDescent="0.3">
      <c r="A1234" s="1">
        <v>46111</v>
      </c>
      <c r="B1234">
        <v>2026</v>
      </c>
      <c r="C1234">
        <v>3</v>
      </c>
      <c r="D1234" t="s">
        <v>49</v>
      </c>
      <c r="E1234" t="s">
        <v>47</v>
      </c>
      <c r="F1234" t="s">
        <v>24</v>
      </c>
      <c r="G1234" t="s">
        <v>23</v>
      </c>
      <c r="H1234">
        <v>3</v>
      </c>
      <c r="I1234">
        <v>54000</v>
      </c>
    </row>
    <row r="1235" spans="1:9" x14ac:dyDescent="0.3">
      <c r="A1235" s="1">
        <v>46079</v>
      </c>
      <c r="B1235">
        <v>2026</v>
      </c>
      <c r="C1235">
        <v>2</v>
      </c>
      <c r="D1235" t="s">
        <v>44</v>
      </c>
      <c r="E1235" t="s">
        <v>45</v>
      </c>
      <c r="F1235" t="s">
        <v>24</v>
      </c>
      <c r="G1235" t="s">
        <v>23</v>
      </c>
      <c r="H1235">
        <v>2</v>
      </c>
      <c r="I1235">
        <v>36000</v>
      </c>
    </row>
    <row r="1236" spans="1:9" x14ac:dyDescent="0.3">
      <c r="A1236" s="1">
        <v>46301</v>
      </c>
      <c r="B1236">
        <v>2026</v>
      </c>
      <c r="C1236">
        <v>10</v>
      </c>
      <c r="D1236" t="s">
        <v>48</v>
      </c>
      <c r="E1236" t="s">
        <v>43</v>
      </c>
      <c r="F1236" t="s">
        <v>24</v>
      </c>
      <c r="G1236" t="s">
        <v>23</v>
      </c>
      <c r="H1236">
        <v>5</v>
      </c>
      <c r="I1236">
        <v>90000</v>
      </c>
    </row>
    <row r="1237" spans="1:9" x14ac:dyDescent="0.3">
      <c r="A1237" s="1">
        <v>46051</v>
      </c>
      <c r="B1237">
        <v>2026</v>
      </c>
      <c r="C1237">
        <v>1</v>
      </c>
      <c r="D1237" t="s">
        <v>44</v>
      </c>
      <c r="E1237" t="s">
        <v>45</v>
      </c>
      <c r="F1237" t="s">
        <v>24</v>
      </c>
      <c r="G1237" t="s">
        <v>23</v>
      </c>
      <c r="H1237">
        <v>4</v>
      </c>
      <c r="I1237">
        <v>72000</v>
      </c>
    </row>
    <row r="1238" spans="1:9" x14ac:dyDescent="0.3">
      <c r="A1238" s="1">
        <v>46188</v>
      </c>
      <c r="B1238">
        <v>2026</v>
      </c>
      <c r="C1238">
        <v>6</v>
      </c>
      <c r="D1238" t="s">
        <v>49</v>
      </c>
      <c r="E1238" t="s">
        <v>47</v>
      </c>
      <c r="F1238" t="s">
        <v>24</v>
      </c>
      <c r="G1238" t="s">
        <v>23</v>
      </c>
      <c r="H1238">
        <v>5</v>
      </c>
      <c r="I1238">
        <v>90000</v>
      </c>
    </row>
    <row r="1239" spans="1:9" x14ac:dyDescent="0.3">
      <c r="A1239" s="1">
        <v>46201</v>
      </c>
      <c r="B1239">
        <v>2026</v>
      </c>
      <c r="C1239">
        <v>6</v>
      </c>
      <c r="D1239" t="s">
        <v>50</v>
      </c>
      <c r="E1239" t="s">
        <v>41</v>
      </c>
      <c r="F1239" t="s">
        <v>24</v>
      </c>
      <c r="G1239" t="s">
        <v>23</v>
      </c>
      <c r="H1239">
        <v>2</v>
      </c>
      <c r="I1239">
        <v>36000</v>
      </c>
    </row>
    <row r="1240" spans="1:9" x14ac:dyDescent="0.3">
      <c r="A1240" s="1">
        <v>46297</v>
      </c>
      <c r="B1240">
        <v>2026</v>
      </c>
      <c r="C1240">
        <v>10</v>
      </c>
      <c r="D1240" t="s">
        <v>44</v>
      </c>
      <c r="E1240" t="s">
        <v>45</v>
      </c>
      <c r="F1240" t="s">
        <v>24</v>
      </c>
      <c r="G1240" t="s">
        <v>23</v>
      </c>
      <c r="H1240">
        <v>1</v>
      </c>
      <c r="I1240">
        <v>18000</v>
      </c>
    </row>
    <row r="1241" spans="1:9" x14ac:dyDescent="0.3">
      <c r="A1241" s="1">
        <v>46135</v>
      </c>
      <c r="B1241">
        <v>2026</v>
      </c>
      <c r="C1241">
        <v>4</v>
      </c>
      <c r="D1241" t="s">
        <v>49</v>
      </c>
      <c r="E1241" t="s">
        <v>47</v>
      </c>
      <c r="F1241" t="s">
        <v>24</v>
      </c>
      <c r="G1241" t="s">
        <v>23</v>
      </c>
      <c r="H1241">
        <v>4</v>
      </c>
      <c r="I1241">
        <v>72000</v>
      </c>
    </row>
    <row r="1242" spans="1:9" x14ac:dyDescent="0.3">
      <c r="A1242" s="1">
        <v>46210</v>
      </c>
      <c r="B1242">
        <v>2026</v>
      </c>
      <c r="C1242">
        <v>7</v>
      </c>
      <c r="D1242" t="s">
        <v>49</v>
      </c>
      <c r="E1242" t="s">
        <v>47</v>
      </c>
      <c r="F1242" t="s">
        <v>24</v>
      </c>
      <c r="G1242" t="s">
        <v>23</v>
      </c>
      <c r="H1242">
        <v>2</v>
      </c>
      <c r="I1242">
        <v>36000</v>
      </c>
    </row>
    <row r="1243" spans="1:9" x14ac:dyDescent="0.3">
      <c r="A1243" s="1">
        <v>46066</v>
      </c>
      <c r="B1243">
        <v>2026</v>
      </c>
      <c r="C1243">
        <v>2</v>
      </c>
      <c r="D1243" t="s">
        <v>40</v>
      </c>
      <c r="E1243" t="s">
        <v>41</v>
      </c>
      <c r="F1243" t="s">
        <v>24</v>
      </c>
      <c r="G1243" t="s">
        <v>23</v>
      </c>
      <c r="H1243">
        <v>2</v>
      </c>
      <c r="I1243">
        <v>36000</v>
      </c>
    </row>
    <row r="1244" spans="1:9" x14ac:dyDescent="0.3">
      <c r="A1244" s="1">
        <v>46169</v>
      </c>
      <c r="B1244">
        <v>2026</v>
      </c>
      <c r="C1244">
        <v>5</v>
      </c>
      <c r="D1244" t="s">
        <v>42</v>
      </c>
      <c r="E1244" t="s">
        <v>43</v>
      </c>
      <c r="F1244" t="s">
        <v>24</v>
      </c>
      <c r="G1244" t="s">
        <v>23</v>
      </c>
      <c r="H1244">
        <v>1</v>
      </c>
      <c r="I1244">
        <v>18000</v>
      </c>
    </row>
    <row r="1245" spans="1:9" x14ac:dyDescent="0.3">
      <c r="A1245" s="1">
        <v>46180</v>
      </c>
      <c r="B1245">
        <v>2026</v>
      </c>
      <c r="C1245">
        <v>6</v>
      </c>
      <c r="D1245" t="s">
        <v>50</v>
      </c>
      <c r="E1245" t="s">
        <v>41</v>
      </c>
      <c r="F1245" t="s">
        <v>24</v>
      </c>
      <c r="G1245" t="s">
        <v>23</v>
      </c>
      <c r="H1245">
        <v>1</v>
      </c>
      <c r="I1245">
        <v>18000</v>
      </c>
    </row>
    <row r="1246" spans="1:9" x14ac:dyDescent="0.3">
      <c r="A1246" s="1">
        <v>46039</v>
      </c>
      <c r="B1246">
        <v>2026</v>
      </c>
      <c r="C1246">
        <v>1</v>
      </c>
      <c r="D1246" t="s">
        <v>50</v>
      </c>
      <c r="E1246" t="s">
        <v>41</v>
      </c>
      <c r="F1246" t="s">
        <v>27</v>
      </c>
      <c r="G1246" t="s">
        <v>23</v>
      </c>
      <c r="H1246">
        <v>5</v>
      </c>
      <c r="I1246">
        <v>32500</v>
      </c>
    </row>
    <row r="1247" spans="1:9" x14ac:dyDescent="0.3">
      <c r="A1247" s="1">
        <v>46212</v>
      </c>
      <c r="B1247">
        <v>2026</v>
      </c>
      <c r="C1247">
        <v>7</v>
      </c>
      <c r="D1247" t="s">
        <v>46</v>
      </c>
      <c r="E1247" t="s">
        <v>47</v>
      </c>
      <c r="F1247" t="s">
        <v>27</v>
      </c>
      <c r="G1247" t="s">
        <v>23</v>
      </c>
      <c r="H1247">
        <v>1</v>
      </c>
      <c r="I1247">
        <v>6500</v>
      </c>
    </row>
    <row r="1248" spans="1:9" x14ac:dyDescent="0.3">
      <c r="A1248" s="1">
        <v>46198</v>
      </c>
      <c r="B1248">
        <v>2026</v>
      </c>
      <c r="C1248">
        <v>6</v>
      </c>
      <c r="D1248" t="s">
        <v>51</v>
      </c>
      <c r="E1248" t="s">
        <v>45</v>
      </c>
      <c r="F1248" t="s">
        <v>27</v>
      </c>
      <c r="G1248" t="s">
        <v>23</v>
      </c>
      <c r="H1248">
        <v>4</v>
      </c>
      <c r="I1248">
        <v>26000</v>
      </c>
    </row>
    <row r="1249" spans="1:9" x14ac:dyDescent="0.3">
      <c r="A1249" s="1">
        <v>46174</v>
      </c>
      <c r="B1249">
        <v>2026</v>
      </c>
      <c r="C1249">
        <v>6</v>
      </c>
      <c r="D1249" t="s">
        <v>48</v>
      </c>
      <c r="E1249" t="s">
        <v>43</v>
      </c>
      <c r="F1249" t="s">
        <v>27</v>
      </c>
      <c r="G1249" t="s">
        <v>23</v>
      </c>
      <c r="H1249">
        <v>2</v>
      </c>
      <c r="I1249">
        <v>13000</v>
      </c>
    </row>
    <row r="1250" spans="1:9" x14ac:dyDescent="0.3">
      <c r="A1250" s="1">
        <v>46173</v>
      </c>
      <c r="B1250">
        <v>2026</v>
      </c>
      <c r="C1250">
        <v>5</v>
      </c>
      <c r="D1250" t="s">
        <v>42</v>
      </c>
      <c r="E1250" t="s">
        <v>43</v>
      </c>
      <c r="F1250" t="s">
        <v>27</v>
      </c>
      <c r="G1250" t="s">
        <v>23</v>
      </c>
      <c r="H1250">
        <v>4</v>
      </c>
      <c r="I1250">
        <v>26000</v>
      </c>
    </row>
    <row r="1251" spans="1:9" x14ac:dyDescent="0.3">
      <c r="A1251" s="1">
        <v>46304</v>
      </c>
      <c r="B1251">
        <v>2026</v>
      </c>
      <c r="C1251">
        <v>10</v>
      </c>
      <c r="D1251" t="s">
        <v>51</v>
      </c>
      <c r="E1251" t="s">
        <v>45</v>
      </c>
      <c r="F1251" t="s">
        <v>27</v>
      </c>
      <c r="G1251" t="s">
        <v>23</v>
      </c>
      <c r="H1251">
        <v>2</v>
      </c>
      <c r="I1251">
        <v>13000</v>
      </c>
    </row>
    <row r="1252" spans="1:9" x14ac:dyDescent="0.3">
      <c r="A1252" s="1">
        <v>46198</v>
      </c>
      <c r="B1252">
        <v>2026</v>
      </c>
      <c r="C1252">
        <v>6</v>
      </c>
      <c r="D1252" t="s">
        <v>48</v>
      </c>
      <c r="E1252" t="s">
        <v>43</v>
      </c>
      <c r="F1252" t="s">
        <v>27</v>
      </c>
      <c r="G1252" t="s">
        <v>23</v>
      </c>
      <c r="H1252">
        <v>3</v>
      </c>
      <c r="I1252">
        <v>19500</v>
      </c>
    </row>
    <row r="1253" spans="1:9" x14ac:dyDescent="0.3">
      <c r="A1253" s="1">
        <v>46040</v>
      </c>
      <c r="B1253">
        <v>2026</v>
      </c>
      <c r="C1253">
        <v>1</v>
      </c>
      <c r="D1253" t="s">
        <v>49</v>
      </c>
      <c r="E1253" t="s">
        <v>47</v>
      </c>
      <c r="F1253" t="s">
        <v>27</v>
      </c>
      <c r="G1253" t="s">
        <v>23</v>
      </c>
      <c r="H1253">
        <v>1</v>
      </c>
      <c r="I1253">
        <v>6500</v>
      </c>
    </row>
    <row r="1254" spans="1:9" x14ac:dyDescent="0.3">
      <c r="A1254" s="1">
        <v>46045</v>
      </c>
      <c r="B1254">
        <v>2026</v>
      </c>
      <c r="C1254">
        <v>1</v>
      </c>
      <c r="D1254" t="s">
        <v>51</v>
      </c>
      <c r="E1254" t="s">
        <v>45</v>
      </c>
      <c r="F1254" t="s">
        <v>27</v>
      </c>
      <c r="G1254" t="s">
        <v>23</v>
      </c>
      <c r="H1254">
        <v>3</v>
      </c>
      <c r="I1254">
        <v>19500</v>
      </c>
    </row>
    <row r="1255" spans="1:9" x14ac:dyDescent="0.3">
      <c r="A1255" s="1">
        <v>46178</v>
      </c>
      <c r="B1255">
        <v>2026</v>
      </c>
      <c r="C1255">
        <v>6</v>
      </c>
      <c r="D1255" t="s">
        <v>51</v>
      </c>
      <c r="E1255" t="s">
        <v>45</v>
      </c>
      <c r="F1255" t="s">
        <v>27</v>
      </c>
      <c r="G1255" t="s">
        <v>23</v>
      </c>
      <c r="H1255">
        <v>5</v>
      </c>
      <c r="I1255">
        <v>32500</v>
      </c>
    </row>
    <row r="1256" spans="1:9" x14ac:dyDescent="0.3">
      <c r="A1256" s="1">
        <v>46200</v>
      </c>
      <c r="B1256">
        <v>2026</v>
      </c>
      <c r="C1256">
        <v>6</v>
      </c>
      <c r="D1256" t="s">
        <v>48</v>
      </c>
      <c r="E1256" t="s">
        <v>43</v>
      </c>
      <c r="F1256" t="s">
        <v>27</v>
      </c>
      <c r="G1256" t="s">
        <v>23</v>
      </c>
      <c r="H1256">
        <v>5</v>
      </c>
      <c r="I1256">
        <v>32500</v>
      </c>
    </row>
    <row r="1257" spans="1:9" x14ac:dyDescent="0.3">
      <c r="A1257" s="1">
        <v>46036</v>
      </c>
      <c r="B1257">
        <v>2026</v>
      </c>
      <c r="C1257">
        <v>1</v>
      </c>
      <c r="D1257" t="s">
        <v>46</v>
      </c>
      <c r="E1257" t="s">
        <v>47</v>
      </c>
      <c r="F1257" t="s">
        <v>27</v>
      </c>
      <c r="G1257" t="s">
        <v>23</v>
      </c>
      <c r="H1257">
        <v>3</v>
      </c>
      <c r="I1257">
        <v>19500</v>
      </c>
    </row>
    <row r="1258" spans="1:9" x14ac:dyDescent="0.3">
      <c r="A1258" s="1">
        <v>46297</v>
      </c>
      <c r="B1258">
        <v>2026</v>
      </c>
      <c r="C1258">
        <v>10</v>
      </c>
      <c r="D1258" t="s">
        <v>50</v>
      </c>
      <c r="E1258" t="s">
        <v>41</v>
      </c>
      <c r="F1258" t="s">
        <v>27</v>
      </c>
      <c r="G1258" t="s">
        <v>23</v>
      </c>
      <c r="H1258">
        <v>1</v>
      </c>
      <c r="I1258">
        <v>6500</v>
      </c>
    </row>
    <row r="1259" spans="1:9" x14ac:dyDescent="0.3">
      <c r="A1259" s="1">
        <v>46194</v>
      </c>
      <c r="B1259">
        <v>2026</v>
      </c>
      <c r="C1259">
        <v>6</v>
      </c>
      <c r="D1259" t="s">
        <v>40</v>
      </c>
      <c r="E1259" t="s">
        <v>41</v>
      </c>
      <c r="F1259" t="s">
        <v>27</v>
      </c>
      <c r="G1259" t="s">
        <v>23</v>
      </c>
      <c r="H1259">
        <v>5</v>
      </c>
      <c r="I1259">
        <v>32500</v>
      </c>
    </row>
    <row r="1260" spans="1:9" x14ac:dyDescent="0.3">
      <c r="A1260" s="1">
        <v>46184</v>
      </c>
      <c r="B1260">
        <v>2026</v>
      </c>
      <c r="C1260">
        <v>6</v>
      </c>
      <c r="D1260" t="s">
        <v>44</v>
      </c>
      <c r="E1260" t="s">
        <v>45</v>
      </c>
      <c r="F1260" t="s">
        <v>27</v>
      </c>
      <c r="G1260" t="s">
        <v>23</v>
      </c>
      <c r="H1260">
        <v>1</v>
      </c>
      <c r="I1260">
        <v>6500</v>
      </c>
    </row>
    <row r="1261" spans="1:9" x14ac:dyDescent="0.3">
      <c r="A1261" s="1">
        <v>46030</v>
      </c>
      <c r="B1261">
        <v>2026</v>
      </c>
      <c r="C1261">
        <v>1</v>
      </c>
      <c r="D1261" t="s">
        <v>51</v>
      </c>
      <c r="E1261" t="s">
        <v>45</v>
      </c>
      <c r="F1261" t="s">
        <v>27</v>
      </c>
      <c r="G1261" t="s">
        <v>23</v>
      </c>
      <c r="H1261">
        <v>4</v>
      </c>
      <c r="I1261">
        <v>26000</v>
      </c>
    </row>
    <row r="1262" spans="1:9" x14ac:dyDescent="0.3">
      <c r="A1262" s="1">
        <v>46095</v>
      </c>
      <c r="B1262">
        <v>2026</v>
      </c>
      <c r="C1262">
        <v>3</v>
      </c>
      <c r="D1262" t="s">
        <v>42</v>
      </c>
      <c r="E1262" t="s">
        <v>43</v>
      </c>
      <c r="F1262" t="s">
        <v>27</v>
      </c>
      <c r="G1262" t="s">
        <v>23</v>
      </c>
      <c r="H1262">
        <v>1</v>
      </c>
      <c r="I1262">
        <v>6500</v>
      </c>
    </row>
    <row r="1263" spans="1:9" x14ac:dyDescent="0.3">
      <c r="A1263" s="1">
        <v>46164</v>
      </c>
      <c r="B1263">
        <v>2026</v>
      </c>
      <c r="C1263">
        <v>5</v>
      </c>
      <c r="D1263" t="s">
        <v>51</v>
      </c>
      <c r="E1263" t="s">
        <v>45</v>
      </c>
      <c r="F1263" t="s">
        <v>27</v>
      </c>
      <c r="G1263" t="s">
        <v>23</v>
      </c>
      <c r="H1263">
        <v>4</v>
      </c>
      <c r="I1263">
        <v>26000</v>
      </c>
    </row>
    <row r="1264" spans="1:9" x14ac:dyDescent="0.3">
      <c r="A1264" s="1">
        <v>46240</v>
      </c>
      <c r="B1264">
        <v>2026</v>
      </c>
      <c r="C1264">
        <v>8</v>
      </c>
      <c r="D1264" t="s">
        <v>50</v>
      </c>
      <c r="E1264" t="s">
        <v>41</v>
      </c>
      <c r="F1264" t="s">
        <v>27</v>
      </c>
      <c r="G1264" t="s">
        <v>23</v>
      </c>
      <c r="H1264">
        <v>5</v>
      </c>
      <c r="I1264">
        <v>32500</v>
      </c>
    </row>
    <row r="1265" spans="1:9" x14ac:dyDescent="0.3">
      <c r="A1265" s="1">
        <v>46040</v>
      </c>
      <c r="B1265">
        <v>2026</v>
      </c>
      <c r="C1265">
        <v>1</v>
      </c>
      <c r="D1265" t="s">
        <v>48</v>
      </c>
      <c r="E1265" t="s">
        <v>43</v>
      </c>
      <c r="F1265" t="s">
        <v>27</v>
      </c>
      <c r="G1265" t="s">
        <v>23</v>
      </c>
      <c r="H1265">
        <v>4</v>
      </c>
      <c r="I1265">
        <v>26000</v>
      </c>
    </row>
    <row r="1266" spans="1:9" x14ac:dyDescent="0.3">
      <c r="A1266" s="1">
        <v>46208</v>
      </c>
      <c r="B1266">
        <v>2026</v>
      </c>
      <c r="C1266">
        <v>7</v>
      </c>
      <c r="D1266" t="s">
        <v>51</v>
      </c>
      <c r="E1266" t="s">
        <v>45</v>
      </c>
      <c r="F1266" t="s">
        <v>27</v>
      </c>
      <c r="G1266" t="s">
        <v>23</v>
      </c>
      <c r="H1266">
        <v>1</v>
      </c>
      <c r="I1266">
        <v>6500</v>
      </c>
    </row>
    <row r="1267" spans="1:9" x14ac:dyDescent="0.3">
      <c r="A1267" s="1">
        <v>46257</v>
      </c>
      <c r="B1267">
        <v>2026</v>
      </c>
      <c r="C1267">
        <v>8</v>
      </c>
      <c r="D1267" t="s">
        <v>49</v>
      </c>
      <c r="E1267" t="s">
        <v>47</v>
      </c>
      <c r="F1267" t="s">
        <v>27</v>
      </c>
      <c r="G1267" t="s">
        <v>23</v>
      </c>
      <c r="H1267">
        <v>4</v>
      </c>
      <c r="I1267">
        <v>26000</v>
      </c>
    </row>
    <row r="1268" spans="1:9" x14ac:dyDescent="0.3">
      <c r="A1268" s="1">
        <v>46145</v>
      </c>
      <c r="B1268">
        <v>2026</v>
      </c>
      <c r="C1268">
        <v>5</v>
      </c>
      <c r="D1268" t="s">
        <v>50</v>
      </c>
      <c r="E1268" t="s">
        <v>41</v>
      </c>
      <c r="F1268" t="s">
        <v>27</v>
      </c>
      <c r="G1268" t="s">
        <v>23</v>
      </c>
      <c r="H1268">
        <v>2</v>
      </c>
      <c r="I1268">
        <v>13000</v>
      </c>
    </row>
    <row r="1269" spans="1:9" x14ac:dyDescent="0.3">
      <c r="A1269" s="1">
        <v>46259</v>
      </c>
      <c r="B1269">
        <v>2026</v>
      </c>
      <c r="C1269">
        <v>8</v>
      </c>
      <c r="D1269" t="s">
        <v>44</v>
      </c>
      <c r="E1269" t="s">
        <v>45</v>
      </c>
      <c r="F1269" t="s">
        <v>27</v>
      </c>
      <c r="G1269" t="s">
        <v>23</v>
      </c>
      <c r="H1269">
        <v>3</v>
      </c>
      <c r="I1269">
        <v>19500</v>
      </c>
    </row>
    <row r="1270" spans="1:9" x14ac:dyDescent="0.3">
      <c r="A1270" s="1">
        <v>46156</v>
      </c>
      <c r="B1270">
        <v>2026</v>
      </c>
      <c r="C1270">
        <v>5</v>
      </c>
      <c r="D1270" t="s">
        <v>51</v>
      </c>
      <c r="E1270" t="s">
        <v>45</v>
      </c>
      <c r="F1270" t="s">
        <v>27</v>
      </c>
      <c r="G1270" t="s">
        <v>23</v>
      </c>
      <c r="H1270">
        <v>2</v>
      </c>
      <c r="I1270">
        <v>13000</v>
      </c>
    </row>
    <row r="1271" spans="1:9" x14ac:dyDescent="0.3">
      <c r="A1271" s="1">
        <v>46164</v>
      </c>
      <c r="B1271">
        <v>2026</v>
      </c>
      <c r="C1271">
        <v>5</v>
      </c>
      <c r="D1271" t="s">
        <v>40</v>
      </c>
      <c r="E1271" t="s">
        <v>41</v>
      </c>
      <c r="F1271" t="s">
        <v>27</v>
      </c>
      <c r="G1271" t="s">
        <v>23</v>
      </c>
      <c r="H1271">
        <v>1</v>
      </c>
      <c r="I1271">
        <v>6500</v>
      </c>
    </row>
    <row r="1272" spans="1:9" x14ac:dyDescent="0.3">
      <c r="A1272" s="1">
        <v>46172</v>
      </c>
      <c r="B1272">
        <v>2026</v>
      </c>
      <c r="C1272">
        <v>5</v>
      </c>
      <c r="D1272" t="s">
        <v>48</v>
      </c>
      <c r="E1272" t="s">
        <v>43</v>
      </c>
      <c r="F1272" t="s">
        <v>27</v>
      </c>
      <c r="G1272" t="s">
        <v>23</v>
      </c>
      <c r="H1272">
        <v>5</v>
      </c>
      <c r="I1272">
        <v>32500</v>
      </c>
    </row>
    <row r="1273" spans="1:9" x14ac:dyDescent="0.3">
      <c r="A1273" s="1">
        <v>46304</v>
      </c>
      <c r="B1273">
        <v>2026</v>
      </c>
      <c r="C1273">
        <v>10</v>
      </c>
      <c r="D1273" t="s">
        <v>42</v>
      </c>
      <c r="E1273" t="s">
        <v>43</v>
      </c>
      <c r="F1273" t="s">
        <v>27</v>
      </c>
      <c r="G1273" t="s">
        <v>23</v>
      </c>
      <c r="H1273">
        <v>3</v>
      </c>
      <c r="I1273">
        <v>19500</v>
      </c>
    </row>
    <row r="1274" spans="1:9" x14ac:dyDescent="0.3">
      <c r="A1274" s="1">
        <v>46038</v>
      </c>
      <c r="B1274">
        <v>2026</v>
      </c>
      <c r="C1274">
        <v>1</v>
      </c>
      <c r="D1274" t="s">
        <v>40</v>
      </c>
      <c r="E1274" t="s">
        <v>41</v>
      </c>
      <c r="F1274" t="s">
        <v>27</v>
      </c>
      <c r="G1274" t="s">
        <v>23</v>
      </c>
      <c r="H1274">
        <v>3</v>
      </c>
      <c r="I1274">
        <v>19500</v>
      </c>
    </row>
    <row r="1275" spans="1:9" x14ac:dyDescent="0.3">
      <c r="A1275" s="1">
        <v>46286</v>
      </c>
      <c r="B1275">
        <v>2026</v>
      </c>
      <c r="C1275">
        <v>9</v>
      </c>
      <c r="D1275" t="s">
        <v>51</v>
      </c>
      <c r="E1275" t="s">
        <v>45</v>
      </c>
      <c r="F1275" t="s">
        <v>27</v>
      </c>
      <c r="G1275" t="s">
        <v>23</v>
      </c>
      <c r="H1275">
        <v>1</v>
      </c>
      <c r="I1275">
        <v>6500</v>
      </c>
    </row>
    <row r="1276" spans="1:9" x14ac:dyDescent="0.3">
      <c r="A1276" s="1">
        <v>46101</v>
      </c>
      <c r="B1276">
        <v>2026</v>
      </c>
      <c r="C1276">
        <v>3</v>
      </c>
      <c r="D1276" t="s">
        <v>48</v>
      </c>
      <c r="E1276" t="s">
        <v>43</v>
      </c>
      <c r="F1276" t="s">
        <v>27</v>
      </c>
      <c r="G1276" t="s">
        <v>23</v>
      </c>
      <c r="H1276">
        <v>1</v>
      </c>
      <c r="I1276">
        <v>6500</v>
      </c>
    </row>
    <row r="1277" spans="1:9" x14ac:dyDescent="0.3">
      <c r="A1277" s="1">
        <v>46227</v>
      </c>
      <c r="B1277">
        <v>2026</v>
      </c>
      <c r="C1277">
        <v>7</v>
      </c>
      <c r="D1277" t="s">
        <v>46</v>
      </c>
      <c r="E1277" t="s">
        <v>47</v>
      </c>
      <c r="F1277" t="s">
        <v>27</v>
      </c>
      <c r="G1277" t="s">
        <v>23</v>
      </c>
      <c r="H1277">
        <v>2</v>
      </c>
      <c r="I1277">
        <v>13000</v>
      </c>
    </row>
    <row r="1278" spans="1:9" x14ac:dyDescent="0.3">
      <c r="A1278" s="1">
        <v>46090</v>
      </c>
      <c r="B1278">
        <v>2026</v>
      </c>
      <c r="C1278">
        <v>3</v>
      </c>
      <c r="D1278" t="s">
        <v>49</v>
      </c>
      <c r="E1278" t="s">
        <v>47</v>
      </c>
      <c r="F1278" t="s">
        <v>27</v>
      </c>
      <c r="G1278" t="s">
        <v>23</v>
      </c>
      <c r="H1278">
        <v>3</v>
      </c>
      <c r="I1278">
        <v>19500</v>
      </c>
    </row>
    <row r="1279" spans="1:9" x14ac:dyDescent="0.3">
      <c r="A1279" s="1">
        <v>46284</v>
      </c>
      <c r="B1279">
        <v>2026</v>
      </c>
      <c r="C1279">
        <v>9</v>
      </c>
      <c r="D1279" t="s">
        <v>48</v>
      </c>
      <c r="E1279" t="s">
        <v>43</v>
      </c>
      <c r="F1279" t="s">
        <v>27</v>
      </c>
      <c r="G1279" t="s">
        <v>23</v>
      </c>
      <c r="H1279">
        <v>5</v>
      </c>
      <c r="I1279">
        <v>32500</v>
      </c>
    </row>
    <row r="1280" spans="1:9" x14ac:dyDescent="0.3">
      <c r="A1280" s="1">
        <v>46292</v>
      </c>
      <c r="B1280">
        <v>2026</v>
      </c>
      <c r="C1280">
        <v>9</v>
      </c>
      <c r="D1280" t="s">
        <v>48</v>
      </c>
      <c r="E1280" t="s">
        <v>43</v>
      </c>
      <c r="F1280" t="s">
        <v>27</v>
      </c>
      <c r="G1280" t="s">
        <v>23</v>
      </c>
      <c r="H1280">
        <v>5</v>
      </c>
      <c r="I1280">
        <v>32500</v>
      </c>
    </row>
    <row r="1281" spans="1:9" x14ac:dyDescent="0.3">
      <c r="A1281" s="1">
        <v>46226</v>
      </c>
      <c r="B1281">
        <v>2026</v>
      </c>
      <c r="C1281">
        <v>7</v>
      </c>
      <c r="D1281" t="s">
        <v>40</v>
      </c>
      <c r="E1281" t="s">
        <v>41</v>
      </c>
      <c r="F1281" t="s">
        <v>27</v>
      </c>
      <c r="G1281" t="s">
        <v>23</v>
      </c>
      <c r="H1281">
        <v>2</v>
      </c>
      <c r="I1281">
        <v>13000</v>
      </c>
    </row>
    <row r="1282" spans="1:9" x14ac:dyDescent="0.3">
      <c r="A1282" s="1">
        <v>46186</v>
      </c>
      <c r="B1282">
        <v>2026</v>
      </c>
      <c r="C1282">
        <v>6</v>
      </c>
      <c r="D1282" t="s">
        <v>51</v>
      </c>
      <c r="E1282" t="s">
        <v>45</v>
      </c>
      <c r="F1282" t="s">
        <v>27</v>
      </c>
      <c r="G1282" t="s">
        <v>23</v>
      </c>
      <c r="H1282">
        <v>4</v>
      </c>
      <c r="I1282">
        <v>26000</v>
      </c>
    </row>
    <row r="1283" spans="1:9" x14ac:dyDescent="0.3">
      <c r="A1283" s="1">
        <v>46323</v>
      </c>
      <c r="B1283">
        <v>2026</v>
      </c>
      <c r="C1283">
        <v>10</v>
      </c>
      <c r="D1283" t="s">
        <v>51</v>
      </c>
      <c r="E1283" t="s">
        <v>45</v>
      </c>
      <c r="F1283" t="s">
        <v>27</v>
      </c>
      <c r="G1283" t="s">
        <v>23</v>
      </c>
      <c r="H1283">
        <v>2</v>
      </c>
      <c r="I1283">
        <v>13000</v>
      </c>
    </row>
    <row r="1284" spans="1:9" x14ac:dyDescent="0.3">
      <c r="A1284" s="1">
        <v>46085</v>
      </c>
      <c r="B1284">
        <v>2026</v>
      </c>
      <c r="C1284">
        <v>3</v>
      </c>
      <c r="D1284" t="s">
        <v>49</v>
      </c>
      <c r="E1284" t="s">
        <v>47</v>
      </c>
      <c r="F1284" t="s">
        <v>27</v>
      </c>
      <c r="G1284" t="s">
        <v>23</v>
      </c>
      <c r="H1284">
        <v>3</v>
      </c>
      <c r="I1284">
        <v>19500</v>
      </c>
    </row>
    <row r="1285" spans="1:9" x14ac:dyDescent="0.3">
      <c r="A1285" s="1">
        <v>46209</v>
      </c>
      <c r="B1285">
        <v>2026</v>
      </c>
      <c r="C1285">
        <v>7</v>
      </c>
      <c r="D1285" t="s">
        <v>51</v>
      </c>
      <c r="E1285" t="s">
        <v>45</v>
      </c>
      <c r="F1285" t="s">
        <v>27</v>
      </c>
      <c r="G1285" t="s">
        <v>23</v>
      </c>
      <c r="H1285">
        <v>1</v>
      </c>
      <c r="I1285">
        <v>6500</v>
      </c>
    </row>
    <row r="1286" spans="1:9" x14ac:dyDescent="0.3">
      <c r="A1286" s="1">
        <v>46286</v>
      </c>
      <c r="B1286">
        <v>2026</v>
      </c>
      <c r="C1286">
        <v>9</v>
      </c>
      <c r="D1286" t="s">
        <v>50</v>
      </c>
      <c r="E1286" t="s">
        <v>41</v>
      </c>
      <c r="F1286" t="s">
        <v>27</v>
      </c>
      <c r="G1286" t="s">
        <v>23</v>
      </c>
      <c r="H1286">
        <v>3</v>
      </c>
      <c r="I1286">
        <v>19500</v>
      </c>
    </row>
    <row r="1287" spans="1:9" x14ac:dyDescent="0.3">
      <c r="A1287" s="1">
        <v>46299</v>
      </c>
      <c r="B1287">
        <v>2026</v>
      </c>
      <c r="C1287">
        <v>10</v>
      </c>
      <c r="D1287" t="s">
        <v>40</v>
      </c>
      <c r="E1287" t="s">
        <v>41</v>
      </c>
      <c r="F1287" t="s">
        <v>27</v>
      </c>
      <c r="G1287" t="s">
        <v>23</v>
      </c>
      <c r="H1287">
        <v>3</v>
      </c>
      <c r="I1287">
        <v>19500</v>
      </c>
    </row>
    <row r="1288" spans="1:9" x14ac:dyDescent="0.3">
      <c r="A1288" s="1">
        <v>46112</v>
      </c>
      <c r="B1288">
        <v>2026</v>
      </c>
      <c r="C1288">
        <v>3</v>
      </c>
      <c r="D1288" t="s">
        <v>48</v>
      </c>
      <c r="E1288" t="s">
        <v>43</v>
      </c>
      <c r="F1288" t="s">
        <v>27</v>
      </c>
      <c r="G1288" t="s">
        <v>23</v>
      </c>
      <c r="H1288">
        <v>1</v>
      </c>
      <c r="I1288">
        <v>6500</v>
      </c>
    </row>
    <row r="1289" spans="1:9" x14ac:dyDescent="0.3">
      <c r="A1289" s="1">
        <v>46085</v>
      </c>
      <c r="B1289">
        <v>2026</v>
      </c>
      <c r="C1289">
        <v>3</v>
      </c>
      <c r="D1289" t="s">
        <v>44</v>
      </c>
      <c r="E1289" t="s">
        <v>45</v>
      </c>
      <c r="F1289" t="s">
        <v>27</v>
      </c>
      <c r="G1289" t="s">
        <v>23</v>
      </c>
      <c r="H1289">
        <v>5</v>
      </c>
      <c r="I1289">
        <v>32500</v>
      </c>
    </row>
    <row r="1290" spans="1:9" x14ac:dyDescent="0.3">
      <c r="A1290" s="1">
        <v>46095</v>
      </c>
      <c r="B1290">
        <v>2026</v>
      </c>
      <c r="C1290">
        <v>3</v>
      </c>
      <c r="D1290" t="s">
        <v>48</v>
      </c>
      <c r="E1290" t="s">
        <v>43</v>
      </c>
      <c r="F1290" t="s">
        <v>27</v>
      </c>
      <c r="G1290" t="s">
        <v>23</v>
      </c>
      <c r="H1290">
        <v>2</v>
      </c>
      <c r="I1290">
        <v>13000</v>
      </c>
    </row>
    <row r="1291" spans="1:9" x14ac:dyDescent="0.3">
      <c r="A1291" s="1">
        <v>46166</v>
      </c>
      <c r="B1291">
        <v>2026</v>
      </c>
      <c r="C1291">
        <v>5</v>
      </c>
      <c r="D1291" t="s">
        <v>44</v>
      </c>
      <c r="E1291" t="s">
        <v>45</v>
      </c>
      <c r="F1291" t="s">
        <v>27</v>
      </c>
      <c r="G1291" t="s">
        <v>23</v>
      </c>
      <c r="H1291">
        <v>2</v>
      </c>
      <c r="I1291">
        <v>13000</v>
      </c>
    </row>
    <row r="1292" spans="1:9" x14ac:dyDescent="0.3">
      <c r="A1292" s="1">
        <v>46130</v>
      </c>
      <c r="B1292">
        <v>2026</v>
      </c>
      <c r="C1292">
        <v>4</v>
      </c>
      <c r="D1292" t="s">
        <v>42</v>
      </c>
      <c r="E1292" t="s">
        <v>43</v>
      </c>
      <c r="F1292" t="s">
        <v>27</v>
      </c>
      <c r="G1292" t="s">
        <v>23</v>
      </c>
      <c r="H1292">
        <v>1</v>
      </c>
      <c r="I1292">
        <v>6500</v>
      </c>
    </row>
    <row r="1293" spans="1:9" x14ac:dyDescent="0.3">
      <c r="A1293" s="1">
        <v>46115</v>
      </c>
      <c r="B1293">
        <v>2026</v>
      </c>
      <c r="C1293">
        <v>4</v>
      </c>
      <c r="D1293" t="s">
        <v>51</v>
      </c>
      <c r="E1293" t="s">
        <v>45</v>
      </c>
      <c r="F1293" t="s">
        <v>27</v>
      </c>
      <c r="G1293" t="s">
        <v>23</v>
      </c>
      <c r="H1293">
        <v>1</v>
      </c>
      <c r="I1293">
        <v>6500</v>
      </c>
    </row>
    <row r="1294" spans="1:9" x14ac:dyDescent="0.3">
      <c r="A1294" s="1">
        <v>46232</v>
      </c>
      <c r="B1294">
        <v>2026</v>
      </c>
      <c r="C1294">
        <v>7</v>
      </c>
      <c r="D1294" t="s">
        <v>46</v>
      </c>
      <c r="E1294" t="s">
        <v>47</v>
      </c>
      <c r="F1294" t="s">
        <v>27</v>
      </c>
      <c r="G1294" t="s">
        <v>23</v>
      </c>
      <c r="H1294">
        <v>4</v>
      </c>
      <c r="I1294">
        <v>26000</v>
      </c>
    </row>
    <row r="1295" spans="1:9" x14ac:dyDescent="0.3">
      <c r="A1295" s="1">
        <v>46170</v>
      </c>
      <c r="B1295">
        <v>2026</v>
      </c>
      <c r="C1295">
        <v>5</v>
      </c>
      <c r="D1295" t="s">
        <v>51</v>
      </c>
      <c r="E1295" t="s">
        <v>45</v>
      </c>
      <c r="F1295" t="s">
        <v>27</v>
      </c>
      <c r="G1295" t="s">
        <v>23</v>
      </c>
      <c r="H1295">
        <v>4</v>
      </c>
      <c r="I1295">
        <v>26000</v>
      </c>
    </row>
    <row r="1296" spans="1:9" x14ac:dyDescent="0.3">
      <c r="A1296" s="1">
        <v>46037</v>
      </c>
      <c r="B1296">
        <v>2026</v>
      </c>
      <c r="C1296">
        <v>1</v>
      </c>
      <c r="D1296" t="s">
        <v>49</v>
      </c>
      <c r="E1296" t="s">
        <v>47</v>
      </c>
      <c r="F1296" t="s">
        <v>27</v>
      </c>
      <c r="G1296" t="s">
        <v>23</v>
      </c>
      <c r="H1296">
        <v>1</v>
      </c>
      <c r="I1296">
        <v>6500</v>
      </c>
    </row>
    <row r="1297" spans="1:9" x14ac:dyDescent="0.3">
      <c r="A1297" s="1">
        <v>46107</v>
      </c>
      <c r="B1297">
        <v>2026</v>
      </c>
      <c r="C1297">
        <v>3</v>
      </c>
      <c r="D1297" t="s">
        <v>49</v>
      </c>
      <c r="E1297" t="s">
        <v>47</v>
      </c>
      <c r="F1297" t="s">
        <v>27</v>
      </c>
      <c r="G1297" t="s">
        <v>23</v>
      </c>
      <c r="H1297">
        <v>5</v>
      </c>
      <c r="I1297">
        <v>32500</v>
      </c>
    </row>
    <row r="1298" spans="1:9" x14ac:dyDescent="0.3">
      <c r="A1298" s="1">
        <v>46105</v>
      </c>
      <c r="B1298">
        <v>2026</v>
      </c>
      <c r="C1298">
        <v>3</v>
      </c>
      <c r="D1298" t="s">
        <v>51</v>
      </c>
      <c r="E1298" t="s">
        <v>45</v>
      </c>
      <c r="F1298" t="s">
        <v>27</v>
      </c>
      <c r="G1298" t="s">
        <v>23</v>
      </c>
      <c r="H1298">
        <v>1</v>
      </c>
      <c r="I1298">
        <v>6500</v>
      </c>
    </row>
    <row r="1299" spans="1:9" x14ac:dyDescent="0.3">
      <c r="A1299" s="1">
        <v>46153</v>
      </c>
      <c r="B1299">
        <v>2026</v>
      </c>
      <c r="C1299">
        <v>5</v>
      </c>
      <c r="D1299" t="s">
        <v>42</v>
      </c>
      <c r="E1299" t="s">
        <v>43</v>
      </c>
      <c r="F1299" t="s">
        <v>27</v>
      </c>
      <c r="G1299" t="s">
        <v>23</v>
      </c>
      <c r="H1299">
        <v>5</v>
      </c>
      <c r="I1299">
        <v>32500</v>
      </c>
    </row>
    <row r="1300" spans="1:9" x14ac:dyDescent="0.3">
      <c r="A1300" s="1">
        <v>46220</v>
      </c>
      <c r="B1300">
        <v>2026</v>
      </c>
      <c r="C1300">
        <v>7</v>
      </c>
      <c r="D1300" t="s">
        <v>44</v>
      </c>
      <c r="E1300" t="s">
        <v>45</v>
      </c>
      <c r="F1300" t="s">
        <v>27</v>
      </c>
      <c r="G1300" t="s">
        <v>23</v>
      </c>
      <c r="H1300">
        <v>4</v>
      </c>
      <c r="I1300">
        <v>26000</v>
      </c>
    </row>
    <row r="1301" spans="1:9" x14ac:dyDescent="0.3">
      <c r="A1301" s="1">
        <v>46097</v>
      </c>
      <c r="B1301">
        <v>2026</v>
      </c>
      <c r="C1301">
        <v>3</v>
      </c>
      <c r="D1301" t="s">
        <v>50</v>
      </c>
      <c r="E1301" t="s">
        <v>41</v>
      </c>
      <c r="F1301" t="s">
        <v>27</v>
      </c>
      <c r="G1301" t="s">
        <v>23</v>
      </c>
      <c r="H1301">
        <v>1</v>
      </c>
      <c r="I1301">
        <v>6500</v>
      </c>
    </row>
    <row r="1302" spans="1:9" x14ac:dyDescent="0.3">
      <c r="A1302" s="1">
        <v>46285</v>
      </c>
      <c r="B1302">
        <v>2026</v>
      </c>
      <c r="C1302">
        <v>9</v>
      </c>
      <c r="D1302" t="s">
        <v>50</v>
      </c>
      <c r="E1302" t="s">
        <v>41</v>
      </c>
      <c r="F1302" t="s">
        <v>27</v>
      </c>
      <c r="G1302" t="s">
        <v>23</v>
      </c>
      <c r="H1302">
        <v>2</v>
      </c>
      <c r="I1302">
        <v>13000</v>
      </c>
    </row>
    <row r="1303" spans="1:9" x14ac:dyDescent="0.3">
      <c r="A1303" s="1">
        <v>46099</v>
      </c>
      <c r="B1303">
        <v>2026</v>
      </c>
      <c r="C1303">
        <v>3</v>
      </c>
      <c r="D1303" t="s">
        <v>46</v>
      </c>
      <c r="E1303" t="s">
        <v>47</v>
      </c>
      <c r="F1303" t="s">
        <v>27</v>
      </c>
      <c r="G1303" t="s">
        <v>23</v>
      </c>
      <c r="H1303">
        <v>1</v>
      </c>
      <c r="I1303">
        <v>6500</v>
      </c>
    </row>
    <row r="1304" spans="1:9" x14ac:dyDescent="0.3">
      <c r="A1304" s="1">
        <v>46182</v>
      </c>
      <c r="B1304">
        <v>2026</v>
      </c>
      <c r="C1304">
        <v>6</v>
      </c>
      <c r="D1304" t="s">
        <v>40</v>
      </c>
      <c r="E1304" t="s">
        <v>41</v>
      </c>
      <c r="F1304" t="s">
        <v>27</v>
      </c>
      <c r="G1304" t="s">
        <v>23</v>
      </c>
      <c r="H1304">
        <v>4</v>
      </c>
      <c r="I1304">
        <v>26000</v>
      </c>
    </row>
    <row r="1305" spans="1:9" x14ac:dyDescent="0.3">
      <c r="A1305" s="1">
        <v>46173</v>
      </c>
      <c r="B1305">
        <v>2026</v>
      </c>
      <c r="C1305">
        <v>5</v>
      </c>
      <c r="D1305" t="s">
        <v>48</v>
      </c>
      <c r="E1305" t="s">
        <v>43</v>
      </c>
      <c r="F1305" t="s">
        <v>27</v>
      </c>
      <c r="G1305" t="s">
        <v>23</v>
      </c>
      <c r="H1305">
        <v>4</v>
      </c>
      <c r="I1305">
        <v>26000</v>
      </c>
    </row>
    <row r="1306" spans="1:9" x14ac:dyDescent="0.3">
      <c r="A1306" s="1">
        <v>46026</v>
      </c>
      <c r="B1306">
        <v>2026</v>
      </c>
      <c r="C1306">
        <v>1</v>
      </c>
      <c r="D1306" t="s">
        <v>49</v>
      </c>
      <c r="E1306" t="s">
        <v>47</v>
      </c>
      <c r="F1306" t="s">
        <v>27</v>
      </c>
      <c r="G1306" t="s">
        <v>23</v>
      </c>
      <c r="H1306">
        <v>3</v>
      </c>
      <c r="I1306">
        <v>19500</v>
      </c>
    </row>
    <row r="1307" spans="1:9" x14ac:dyDescent="0.3">
      <c r="A1307" s="1">
        <v>46251</v>
      </c>
      <c r="B1307">
        <v>2026</v>
      </c>
      <c r="C1307">
        <v>8</v>
      </c>
      <c r="D1307" t="s">
        <v>44</v>
      </c>
      <c r="E1307" t="s">
        <v>45</v>
      </c>
      <c r="F1307" t="s">
        <v>27</v>
      </c>
      <c r="G1307" t="s">
        <v>23</v>
      </c>
      <c r="H1307">
        <v>3</v>
      </c>
      <c r="I1307">
        <v>19500</v>
      </c>
    </row>
    <row r="1308" spans="1:9" x14ac:dyDescent="0.3">
      <c r="A1308" s="1">
        <v>46269</v>
      </c>
      <c r="B1308">
        <v>2026</v>
      </c>
      <c r="C1308">
        <v>9</v>
      </c>
      <c r="D1308" t="s">
        <v>42</v>
      </c>
      <c r="E1308" t="s">
        <v>43</v>
      </c>
      <c r="F1308" t="s">
        <v>27</v>
      </c>
      <c r="G1308" t="s">
        <v>23</v>
      </c>
      <c r="H1308">
        <v>3</v>
      </c>
      <c r="I1308">
        <v>19500</v>
      </c>
    </row>
    <row r="1309" spans="1:9" x14ac:dyDescent="0.3">
      <c r="A1309" s="1">
        <v>46082</v>
      </c>
      <c r="B1309">
        <v>2026</v>
      </c>
      <c r="C1309">
        <v>3</v>
      </c>
      <c r="D1309" t="s">
        <v>46</v>
      </c>
      <c r="E1309" t="s">
        <v>47</v>
      </c>
      <c r="F1309" t="s">
        <v>27</v>
      </c>
      <c r="G1309" t="s">
        <v>23</v>
      </c>
      <c r="H1309">
        <v>4</v>
      </c>
      <c r="I1309">
        <v>26000</v>
      </c>
    </row>
    <row r="1310" spans="1:9" x14ac:dyDescent="0.3">
      <c r="A1310" s="1">
        <v>46100</v>
      </c>
      <c r="B1310">
        <v>2026</v>
      </c>
      <c r="C1310">
        <v>3</v>
      </c>
      <c r="D1310" t="s">
        <v>40</v>
      </c>
      <c r="E1310" t="s">
        <v>41</v>
      </c>
      <c r="F1310" t="s">
        <v>27</v>
      </c>
      <c r="G1310" t="s">
        <v>23</v>
      </c>
      <c r="H1310">
        <v>4</v>
      </c>
      <c r="I1310">
        <v>26000</v>
      </c>
    </row>
    <row r="1311" spans="1:9" x14ac:dyDescent="0.3">
      <c r="A1311" s="1">
        <v>46175</v>
      </c>
      <c r="B1311">
        <v>2026</v>
      </c>
      <c r="C1311">
        <v>6</v>
      </c>
      <c r="D1311" t="s">
        <v>49</v>
      </c>
      <c r="E1311" t="s">
        <v>47</v>
      </c>
      <c r="F1311" t="s">
        <v>27</v>
      </c>
      <c r="G1311" t="s">
        <v>23</v>
      </c>
      <c r="H1311">
        <v>1</v>
      </c>
      <c r="I1311">
        <v>6500</v>
      </c>
    </row>
    <row r="1312" spans="1:9" x14ac:dyDescent="0.3">
      <c r="A1312" s="1">
        <v>46166</v>
      </c>
      <c r="B1312">
        <v>2026</v>
      </c>
      <c r="C1312">
        <v>5</v>
      </c>
      <c r="D1312" t="s">
        <v>48</v>
      </c>
      <c r="E1312" t="s">
        <v>43</v>
      </c>
      <c r="F1312" t="s">
        <v>27</v>
      </c>
      <c r="G1312" t="s">
        <v>23</v>
      </c>
      <c r="H1312">
        <v>2</v>
      </c>
      <c r="I1312">
        <v>13000</v>
      </c>
    </row>
    <row r="1313" spans="1:9" x14ac:dyDescent="0.3">
      <c r="A1313" s="1">
        <v>46143</v>
      </c>
      <c r="B1313">
        <v>2026</v>
      </c>
      <c r="C1313">
        <v>5</v>
      </c>
      <c r="D1313" t="s">
        <v>49</v>
      </c>
      <c r="E1313" t="s">
        <v>47</v>
      </c>
      <c r="F1313" t="s">
        <v>27</v>
      </c>
      <c r="G1313" t="s">
        <v>23</v>
      </c>
      <c r="H1313">
        <v>2</v>
      </c>
      <c r="I1313">
        <v>13000</v>
      </c>
    </row>
    <row r="1314" spans="1:9" x14ac:dyDescent="0.3">
      <c r="A1314" s="1">
        <v>46086</v>
      </c>
      <c r="B1314">
        <v>2026</v>
      </c>
      <c r="C1314">
        <v>3</v>
      </c>
      <c r="D1314" t="s">
        <v>50</v>
      </c>
      <c r="E1314" t="s">
        <v>41</v>
      </c>
      <c r="F1314" t="s">
        <v>27</v>
      </c>
      <c r="G1314" t="s">
        <v>23</v>
      </c>
      <c r="H1314">
        <v>4</v>
      </c>
      <c r="I1314">
        <v>26000</v>
      </c>
    </row>
    <row r="1315" spans="1:9" x14ac:dyDescent="0.3">
      <c r="A1315" s="1">
        <v>46202</v>
      </c>
      <c r="B1315">
        <v>2026</v>
      </c>
      <c r="C1315">
        <v>6</v>
      </c>
      <c r="D1315" t="s">
        <v>44</v>
      </c>
      <c r="E1315" t="s">
        <v>45</v>
      </c>
      <c r="F1315" t="s">
        <v>27</v>
      </c>
      <c r="G1315" t="s">
        <v>23</v>
      </c>
      <c r="H1315">
        <v>4</v>
      </c>
      <c r="I1315">
        <v>26000</v>
      </c>
    </row>
    <row r="1316" spans="1:9" x14ac:dyDescent="0.3">
      <c r="A1316" s="1">
        <v>46073</v>
      </c>
      <c r="B1316">
        <v>2026</v>
      </c>
      <c r="C1316">
        <v>2</v>
      </c>
      <c r="D1316" t="s">
        <v>49</v>
      </c>
      <c r="E1316" t="s">
        <v>47</v>
      </c>
      <c r="F1316" t="s">
        <v>27</v>
      </c>
      <c r="G1316" t="s">
        <v>23</v>
      </c>
      <c r="H1316">
        <v>1</v>
      </c>
      <c r="I1316">
        <v>6500</v>
      </c>
    </row>
    <row r="1317" spans="1:9" x14ac:dyDescent="0.3">
      <c r="A1317" s="1">
        <v>46198</v>
      </c>
      <c r="B1317">
        <v>2026</v>
      </c>
      <c r="C1317">
        <v>6</v>
      </c>
      <c r="D1317" t="s">
        <v>40</v>
      </c>
      <c r="E1317" t="s">
        <v>41</v>
      </c>
      <c r="F1317" t="s">
        <v>27</v>
      </c>
      <c r="G1317" t="s">
        <v>23</v>
      </c>
      <c r="H1317">
        <v>2</v>
      </c>
      <c r="I1317">
        <v>13000</v>
      </c>
    </row>
    <row r="1318" spans="1:9" x14ac:dyDescent="0.3">
      <c r="A1318" s="1">
        <v>46105</v>
      </c>
      <c r="B1318">
        <v>2026</v>
      </c>
      <c r="C1318">
        <v>3</v>
      </c>
      <c r="D1318" t="s">
        <v>50</v>
      </c>
      <c r="E1318" t="s">
        <v>41</v>
      </c>
      <c r="F1318" t="s">
        <v>27</v>
      </c>
      <c r="G1318" t="s">
        <v>23</v>
      </c>
      <c r="H1318">
        <v>2</v>
      </c>
      <c r="I1318">
        <v>13000</v>
      </c>
    </row>
    <row r="1319" spans="1:9" x14ac:dyDescent="0.3">
      <c r="A1319" s="1">
        <v>46214</v>
      </c>
      <c r="B1319">
        <v>2026</v>
      </c>
      <c r="C1319">
        <v>7</v>
      </c>
      <c r="D1319" t="s">
        <v>40</v>
      </c>
      <c r="E1319" t="s">
        <v>41</v>
      </c>
      <c r="F1319" t="s">
        <v>27</v>
      </c>
      <c r="G1319" t="s">
        <v>23</v>
      </c>
      <c r="H1319">
        <v>5</v>
      </c>
      <c r="I1319">
        <v>32500</v>
      </c>
    </row>
    <row r="1320" spans="1:9" x14ac:dyDescent="0.3">
      <c r="A1320" s="1">
        <v>46131</v>
      </c>
      <c r="B1320">
        <v>2026</v>
      </c>
      <c r="C1320">
        <v>4</v>
      </c>
      <c r="D1320" t="s">
        <v>40</v>
      </c>
      <c r="E1320" t="s">
        <v>41</v>
      </c>
      <c r="F1320" t="s">
        <v>27</v>
      </c>
      <c r="G1320" t="s">
        <v>23</v>
      </c>
      <c r="H1320">
        <v>4</v>
      </c>
      <c r="I1320">
        <v>26000</v>
      </c>
    </row>
    <row r="1321" spans="1:9" x14ac:dyDescent="0.3">
      <c r="A1321" s="1">
        <v>46113</v>
      </c>
      <c r="B1321">
        <v>2026</v>
      </c>
      <c r="C1321">
        <v>4</v>
      </c>
      <c r="D1321" t="s">
        <v>44</v>
      </c>
      <c r="E1321" t="s">
        <v>45</v>
      </c>
      <c r="F1321" t="s">
        <v>27</v>
      </c>
      <c r="G1321" t="s">
        <v>23</v>
      </c>
      <c r="H1321">
        <v>1</v>
      </c>
      <c r="I1321">
        <v>6500</v>
      </c>
    </row>
    <row r="1322" spans="1:9" x14ac:dyDescent="0.3">
      <c r="A1322" s="1">
        <v>46136</v>
      </c>
      <c r="B1322">
        <v>2026</v>
      </c>
      <c r="C1322">
        <v>4</v>
      </c>
      <c r="D1322" t="s">
        <v>49</v>
      </c>
      <c r="E1322" t="s">
        <v>47</v>
      </c>
      <c r="F1322" t="s">
        <v>27</v>
      </c>
      <c r="G1322" t="s">
        <v>23</v>
      </c>
      <c r="H1322">
        <v>3</v>
      </c>
      <c r="I1322">
        <v>19500</v>
      </c>
    </row>
    <row r="1323" spans="1:9" x14ac:dyDescent="0.3">
      <c r="A1323" s="1">
        <v>46065</v>
      </c>
      <c r="B1323">
        <v>2026</v>
      </c>
      <c r="C1323">
        <v>2</v>
      </c>
      <c r="D1323" t="s">
        <v>40</v>
      </c>
      <c r="E1323" t="s">
        <v>41</v>
      </c>
      <c r="F1323" t="s">
        <v>27</v>
      </c>
      <c r="G1323" t="s">
        <v>23</v>
      </c>
      <c r="H1323">
        <v>1</v>
      </c>
      <c r="I1323">
        <v>6500</v>
      </c>
    </row>
    <row r="1324" spans="1:9" x14ac:dyDescent="0.3">
      <c r="A1324" s="1">
        <v>46284</v>
      </c>
      <c r="B1324">
        <v>2026</v>
      </c>
      <c r="C1324">
        <v>9</v>
      </c>
      <c r="D1324" t="s">
        <v>42</v>
      </c>
      <c r="E1324" t="s">
        <v>43</v>
      </c>
      <c r="F1324" t="s">
        <v>27</v>
      </c>
      <c r="G1324" t="s">
        <v>23</v>
      </c>
      <c r="H1324">
        <v>1</v>
      </c>
      <c r="I1324">
        <v>6500</v>
      </c>
    </row>
    <row r="1325" spans="1:9" x14ac:dyDescent="0.3">
      <c r="A1325" s="1">
        <v>46191</v>
      </c>
      <c r="B1325">
        <v>2026</v>
      </c>
      <c r="C1325">
        <v>6</v>
      </c>
      <c r="D1325" t="s">
        <v>40</v>
      </c>
      <c r="E1325" t="s">
        <v>41</v>
      </c>
      <c r="F1325" t="s">
        <v>27</v>
      </c>
      <c r="G1325" t="s">
        <v>23</v>
      </c>
      <c r="H1325">
        <v>1</v>
      </c>
      <c r="I1325">
        <v>6500</v>
      </c>
    </row>
    <row r="1326" spans="1:9" x14ac:dyDescent="0.3">
      <c r="A1326" s="1">
        <v>46134</v>
      </c>
      <c r="B1326">
        <v>2026</v>
      </c>
      <c r="C1326">
        <v>4</v>
      </c>
      <c r="D1326" t="s">
        <v>40</v>
      </c>
      <c r="E1326" t="s">
        <v>41</v>
      </c>
      <c r="F1326" t="s">
        <v>27</v>
      </c>
      <c r="G1326" t="s">
        <v>23</v>
      </c>
      <c r="H1326">
        <v>3</v>
      </c>
      <c r="I1326">
        <v>19500</v>
      </c>
    </row>
    <row r="1327" spans="1:9" x14ac:dyDescent="0.3">
      <c r="A1327" s="1">
        <v>46310</v>
      </c>
      <c r="B1327">
        <v>2026</v>
      </c>
      <c r="C1327">
        <v>10</v>
      </c>
      <c r="D1327" t="s">
        <v>44</v>
      </c>
      <c r="E1327" t="s">
        <v>45</v>
      </c>
      <c r="F1327" t="s">
        <v>27</v>
      </c>
      <c r="G1327" t="s">
        <v>23</v>
      </c>
      <c r="H1327">
        <v>2</v>
      </c>
      <c r="I1327">
        <v>13000</v>
      </c>
    </row>
    <row r="1328" spans="1:9" x14ac:dyDescent="0.3">
      <c r="A1328" s="1">
        <v>46158</v>
      </c>
      <c r="B1328">
        <v>2026</v>
      </c>
      <c r="C1328">
        <v>5</v>
      </c>
      <c r="D1328" t="s">
        <v>50</v>
      </c>
      <c r="E1328" t="s">
        <v>41</v>
      </c>
      <c r="F1328" t="s">
        <v>27</v>
      </c>
      <c r="G1328" t="s">
        <v>23</v>
      </c>
      <c r="H1328">
        <v>5</v>
      </c>
      <c r="I1328">
        <v>32500</v>
      </c>
    </row>
    <row r="1329" spans="1:9" x14ac:dyDescent="0.3">
      <c r="A1329" s="1">
        <v>46258</v>
      </c>
      <c r="B1329">
        <v>2026</v>
      </c>
      <c r="C1329">
        <v>8</v>
      </c>
      <c r="D1329" t="s">
        <v>49</v>
      </c>
      <c r="E1329" t="s">
        <v>47</v>
      </c>
      <c r="F1329" t="s">
        <v>27</v>
      </c>
      <c r="G1329" t="s">
        <v>23</v>
      </c>
      <c r="H1329">
        <v>4</v>
      </c>
      <c r="I1329">
        <v>26000</v>
      </c>
    </row>
    <row r="1330" spans="1:9" x14ac:dyDescent="0.3">
      <c r="A1330" s="1">
        <v>46239</v>
      </c>
      <c r="B1330">
        <v>2026</v>
      </c>
      <c r="C1330">
        <v>8</v>
      </c>
      <c r="D1330" t="s">
        <v>49</v>
      </c>
      <c r="E1330" t="s">
        <v>47</v>
      </c>
      <c r="F1330" t="s">
        <v>27</v>
      </c>
      <c r="G1330" t="s">
        <v>23</v>
      </c>
      <c r="H1330">
        <v>4</v>
      </c>
      <c r="I1330">
        <v>26000</v>
      </c>
    </row>
    <row r="1331" spans="1:9" x14ac:dyDescent="0.3">
      <c r="A1331" s="1">
        <v>46064</v>
      </c>
      <c r="B1331">
        <v>2026</v>
      </c>
      <c r="C1331">
        <v>2</v>
      </c>
      <c r="D1331" t="s">
        <v>51</v>
      </c>
      <c r="E1331" t="s">
        <v>45</v>
      </c>
      <c r="F1331" t="s">
        <v>27</v>
      </c>
      <c r="G1331" t="s">
        <v>23</v>
      </c>
      <c r="H1331">
        <v>5</v>
      </c>
      <c r="I1331">
        <v>32500</v>
      </c>
    </row>
    <row r="1332" spans="1:9" x14ac:dyDescent="0.3">
      <c r="A1332" s="1">
        <v>46103</v>
      </c>
      <c r="B1332">
        <v>2026</v>
      </c>
      <c r="C1332">
        <v>3</v>
      </c>
      <c r="D1332" t="s">
        <v>42</v>
      </c>
      <c r="E1332" t="s">
        <v>43</v>
      </c>
      <c r="F1332" t="s">
        <v>27</v>
      </c>
      <c r="G1332" t="s">
        <v>23</v>
      </c>
      <c r="H1332">
        <v>2</v>
      </c>
      <c r="I1332">
        <v>13000</v>
      </c>
    </row>
    <row r="1333" spans="1:9" x14ac:dyDescent="0.3">
      <c r="A1333" s="1">
        <v>46187</v>
      </c>
      <c r="B1333">
        <v>2026</v>
      </c>
      <c r="C1333">
        <v>6</v>
      </c>
      <c r="D1333" t="s">
        <v>42</v>
      </c>
      <c r="E1333" t="s">
        <v>43</v>
      </c>
      <c r="F1333" t="s">
        <v>27</v>
      </c>
      <c r="G1333" t="s">
        <v>23</v>
      </c>
      <c r="H1333">
        <v>5</v>
      </c>
      <c r="I1333">
        <v>32500</v>
      </c>
    </row>
    <row r="1334" spans="1:9" x14ac:dyDescent="0.3">
      <c r="A1334" s="1">
        <v>46147</v>
      </c>
      <c r="B1334">
        <v>2026</v>
      </c>
      <c r="C1334">
        <v>5</v>
      </c>
      <c r="D1334" t="s">
        <v>42</v>
      </c>
      <c r="E1334" t="s">
        <v>43</v>
      </c>
      <c r="F1334" t="s">
        <v>27</v>
      </c>
      <c r="G1334" t="s">
        <v>23</v>
      </c>
      <c r="H1334">
        <v>1</v>
      </c>
      <c r="I1334">
        <v>6500</v>
      </c>
    </row>
    <row r="1335" spans="1:9" x14ac:dyDescent="0.3">
      <c r="A1335" s="1">
        <v>46255</v>
      </c>
      <c r="B1335">
        <v>2026</v>
      </c>
      <c r="C1335">
        <v>8</v>
      </c>
      <c r="D1335" t="s">
        <v>46</v>
      </c>
      <c r="E1335" t="s">
        <v>47</v>
      </c>
      <c r="F1335" t="s">
        <v>27</v>
      </c>
      <c r="G1335" t="s">
        <v>23</v>
      </c>
      <c r="H1335">
        <v>2</v>
      </c>
      <c r="I1335">
        <v>13000</v>
      </c>
    </row>
    <row r="1336" spans="1:9" x14ac:dyDescent="0.3">
      <c r="A1336" s="1">
        <v>46037</v>
      </c>
      <c r="B1336">
        <v>2026</v>
      </c>
      <c r="C1336">
        <v>1</v>
      </c>
      <c r="D1336" t="s">
        <v>48</v>
      </c>
      <c r="E1336" t="s">
        <v>43</v>
      </c>
      <c r="F1336" t="s">
        <v>27</v>
      </c>
      <c r="G1336" t="s">
        <v>23</v>
      </c>
      <c r="H1336">
        <v>3</v>
      </c>
      <c r="I1336">
        <v>19500</v>
      </c>
    </row>
    <row r="1337" spans="1:9" x14ac:dyDescent="0.3">
      <c r="A1337" s="1">
        <v>46210</v>
      </c>
      <c r="B1337">
        <v>2026</v>
      </c>
      <c r="C1337">
        <v>7</v>
      </c>
      <c r="D1337" t="s">
        <v>46</v>
      </c>
      <c r="E1337" t="s">
        <v>47</v>
      </c>
      <c r="F1337" t="s">
        <v>27</v>
      </c>
      <c r="G1337" t="s">
        <v>23</v>
      </c>
      <c r="H1337">
        <v>4</v>
      </c>
      <c r="I1337">
        <v>26000</v>
      </c>
    </row>
    <row r="1338" spans="1:9" x14ac:dyDescent="0.3">
      <c r="A1338" s="1">
        <v>46168</v>
      </c>
      <c r="B1338">
        <v>2026</v>
      </c>
      <c r="C1338">
        <v>5</v>
      </c>
      <c r="D1338" t="s">
        <v>48</v>
      </c>
      <c r="E1338" t="s">
        <v>43</v>
      </c>
      <c r="F1338" t="s">
        <v>27</v>
      </c>
      <c r="G1338" t="s">
        <v>23</v>
      </c>
      <c r="H1338">
        <v>5</v>
      </c>
      <c r="I1338">
        <v>32500</v>
      </c>
    </row>
    <row r="1339" spans="1:9" x14ac:dyDescent="0.3">
      <c r="A1339" s="1">
        <v>46194</v>
      </c>
      <c r="B1339">
        <v>2026</v>
      </c>
      <c r="C1339">
        <v>6</v>
      </c>
      <c r="D1339" t="s">
        <v>40</v>
      </c>
      <c r="E1339" t="s">
        <v>41</v>
      </c>
      <c r="F1339" t="s">
        <v>27</v>
      </c>
      <c r="G1339" t="s">
        <v>23</v>
      </c>
      <c r="H1339">
        <v>3</v>
      </c>
      <c r="I1339">
        <v>19500</v>
      </c>
    </row>
    <row r="1340" spans="1:9" x14ac:dyDescent="0.3">
      <c r="A1340" s="1">
        <v>46054</v>
      </c>
      <c r="B1340">
        <v>2026</v>
      </c>
      <c r="C1340">
        <v>2</v>
      </c>
      <c r="D1340" t="s">
        <v>49</v>
      </c>
      <c r="E1340" t="s">
        <v>47</v>
      </c>
      <c r="F1340" t="s">
        <v>27</v>
      </c>
      <c r="G1340" t="s">
        <v>23</v>
      </c>
      <c r="H1340">
        <v>4</v>
      </c>
      <c r="I1340">
        <v>26000</v>
      </c>
    </row>
    <row r="1341" spans="1:9" x14ac:dyDescent="0.3">
      <c r="A1341" s="1">
        <v>46072</v>
      </c>
      <c r="B1341">
        <v>2026</v>
      </c>
      <c r="C1341">
        <v>2</v>
      </c>
      <c r="D1341" t="s">
        <v>50</v>
      </c>
      <c r="E1341" t="s">
        <v>41</v>
      </c>
      <c r="F1341" t="s">
        <v>27</v>
      </c>
      <c r="G1341" t="s">
        <v>23</v>
      </c>
      <c r="H1341">
        <v>4</v>
      </c>
      <c r="I1341">
        <v>26000</v>
      </c>
    </row>
    <row r="1342" spans="1:9" x14ac:dyDescent="0.3">
      <c r="A1342" s="1">
        <v>46315</v>
      </c>
      <c r="B1342">
        <v>2026</v>
      </c>
      <c r="C1342">
        <v>10</v>
      </c>
      <c r="D1342" t="s">
        <v>51</v>
      </c>
      <c r="E1342" t="s">
        <v>45</v>
      </c>
      <c r="F1342" t="s">
        <v>27</v>
      </c>
      <c r="G1342" t="s">
        <v>23</v>
      </c>
      <c r="H1342">
        <v>3</v>
      </c>
      <c r="I1342">
        <v>19500</v>
      </c>
    </row>
    <row r="1343" spans="1:9" x14ac:dyDescent="0.3">
      <c r="A1343" s="1">
        <v>46220</v>
      </c>
      <c r="B1343">
        <v>2026</v>
      </c>
      <c r="C1343">
        <v>7</v>
      </c>
      <c r="D1343" t="s">
        <v>46</v>
      </c>
      <c r="E1343" t="s">
        <v>47</v>
      </c>
      <c r="F1343" t="s">
        <v>27</v>
      </c>
      <c r="G1343" t="s">
        <v>23</v>
      </c>
      <c r="H1343">
        <v>4</v>
      </c>
      <c r="I1343">
        <v>26000</v>
      </c>
    </row>
    <row r="1344" spans="1:9" x14ac:dyDescent="0.3">
      <c r="A1344" s="1">
        <v>46253</v>
      </c>
      <c r="B1344">
        <v>2026</v>
      </c>
      <c r="C1344">
        <v>8</v>
      </c>
      <c r="D1344" t="s">
        <v>50</v>
      </c>
      <c r="E1344" t="s">
        <v>41</v>
      </c>
      <c r="F1344" t="s">
        <v>27</v>
      </c>
      <c r="G1344" t="s">
        <v>23</v>
      </c>
      <c r="H1344">
        <v>4</v>
      </c>
      <c r="I1344">
        <v>26000</v>
      </c>
    </row>
    <row r="1345" spans="1:9" x14ac:dyDescent="0.3">
      <c r="A1345" s="1">
        <v>46187</v>
      </c>
      <c r="B1345">
        <v>2026</v>
      </c>
      <c r="C1345">
        <v>6</v>
      </c>
      <c r="D1345" t="s">
        <v>49</v>
      </c>
      <c r="E1345" t="s">
        <v>47</v>
      </c>
      <c r="F1345" t="s">
        <v>27</v>
      </c>
      <c r="G1345" t="s">
        <v>23</v>
      </c>
      <c r="H1345">
        <v>2</v>
      </c>
      <c r="I1345">
        <v>13000</v>
      </c>
    </row>
    <row r="1346" spans="1:9" x14ac:dyDescent="0.3">
      <c r="A1346" s="1">
        <v>46305</v>
      </c>
      <c r="B1346">
        <v>2026</v>
      </c>
      <c r="C1346">
        <v>10</v>
      </c>
      <c r="D1346" t="s">
        <v>40</v>
      </c>
      <c r="E1346" t="s">
        <v>41</v>
      </c>
      <c r="F1346" t="s">
        <v>27</v>
      </c>
      <c r="G1346" t="s">
        <v>23</v>
      </c>
      <c r="H1346">
        <v>4</v>
      </c>
      <c r="I1346">
        <v>26000</v>
      </c>
    </row>
    <row r="1347" spans="1:9" x14ac:dyDescent="0.3">
      <c r="A1347" s="1">
        <v>46318</v>
      </c>
      <c r="B1347">
        <v>2026</v>
      </c>
      <c r="C1347">
        <v>10</v>
      </c>
      <c r="D1347" t="s">
        <v>40</v>
      </c>
      <c r="E1347" t="s">
        <v>41</v>
      </c>
      <c r="F1347" t="s">
        <v>27</v>
      </c>
      <c r="G1347" t="s">
        <v>23</v>
      </c>
      <c r="H1347">
        <v>1</v>
      </c>
      <c r="I1347">
        <v>6500</v>
      </c>
    </row>
    <row r="1348" spans="1:9" x14ac:dyDescent="0.3">
      <c r="A1348" s="1">
        <v>46039</v>
      </c>
      <c r="B1348">
        <v>2026</v>
      </c>
      <c r="C1348">
        <v>1</v>
      </c>
      <c r="D1348" t="s">
        <v>42</v>
      </c>
      <c r="E1348" t="s">
        <v>43</v>
      </c>
      <c r="F1348" t="s">
        <v>27</v>
      </c>
      <c r="G1348" t="s">
        <v>23</v>
      </c>
      <c r="H1348">
        <v>2</v>
      </c>
      <c r="I1348">
        <v>13000</v>
      </c>
    </row>
    <row r="1349" spans="1:9" x14ac:dyDescent="0.3">
      <c r="A1349" s="1">
        <v>46105</v>
      </c>
      <c r="B1349">
        <v>2026</v>
      </c>
      <c r="C1349">
        <v>3</v>
      </c>
      <c r="D1349" t="s">
        <v>51</v>
      </c>
      <c r="E1349" t="s">
        <v>45</v>
      </c>
      <c r="F1349" t="s">
        <v>27</v>
      </c>
      <c r="G1349" t="s">
        <v>23</v>
      </c>
      <c r="H1349">
        <v>1</v>
      </c>
      <c r="I1349">
        <v>6500</v>
      </c>
    </row>
    <row r="1350" spans="1:9" x14ac:dyDescent="0.3">
      <c r="A1350" s="1">
        <v>46200</v>
      </c>
      <c r="B1350">
        <v>2026</v>
      </c>
      <c r="C1350">
        <v>6</v>
      </c>
      <c r="D1350" t="s">
        <v>44</v>
      </c>
      <c r="E1350" t="s">
        <v>45</v>
      </c>
      <c r="F1350" t="s">
        <v>27</v>
      </c>
      <c r="G1350" t="s">
        <v>23</v>
      </c>
      <c r="H1350">
        <v>5</v>
      </c>
      <c r="I1350">
        <v>32500</v>
      </c>
    </row>
    <row r="1351" spans="1:9" x14ac:dyDescent="0.3">
      <c r="A1351" s="1">
        <v>46053</v>
      </c>
      <c r="B1351">
        <v>2026</v>
      </c>
      <c r="C1351">
        <v>1</v>
      </c>
      <c r="D1351" t="s">
        <v>49</v>
      </c>
      <c r="E1351" t="s">
        <v>47</v>
      </c>
      <c r="F1351" t="s">
        <v>27</v>
      </c>
      <c r="G1351" t="s">
        <v>23</v>
      </c>
      <c r="H1351">
        <v>3</v>
      </c>
      <c r="I1351">
        <v>19500</v>
      </c>
    </row>
    <row r="1352" spans="1:9" x14ac:dyDescent="0.3">
      <c r="A1352" s="1">
        <v>46111</v>
      </c>
      <c r="B1352">
        <v>2026</v>
      </c>
      <c r="C1352">
        <v>3</v>
      </c>
      <c r="D1352" t="s">
        <v>48</v>
      </c>
      <c r="E1352" t="s">
        <v>43</v>
      </c>
      <c r="F1352" t="s">
        <v>27</v>
      </c>
      <c r="G1352" t="s">
        <v>23</v>
      </c>
      <c r="H1352">
        <v>4</v>
      </c>
      <c r="I1352">
        <v>26000</v>
      </c>
    </row>
    <row r="1353" spans="1:9" x14ac:dyDescent="0.3">
      <c r="A1353" s="1">
        <v>46129</v>
      </c>
      <c r="B1353">
        <v>2026</v>
      </c>
      <c r="C1353">
        <v>4</v>
      </c>
      <c r="D1353" t="s">
        <v>40</v>
      </c>
      <c r="E1353" t="s">
        <v>41</v>
      </c>
      <c r="F1353" t="s">
        <v>27</v>
      </c>
      <c r="G1353" t="s">
        <v>23</v>
      </c>
      <c r="H1353">
        <v>3</v>
      </c>
      <c r="I1353">
        <v>19500</v>
      </c>
    </row>
    <row r="1354" spans="1:9" x14ac:dyDescent="0.3">
      <c r="A1354" s="1">
        <v>46272</v>
      </c>
      <c r="B1354">
        <v>2026</v>
      </c>
      <c r="C1354">
        <v>9</v>
      </c>
      <c r="D1354" t="s">
        <v>44</v>
      </c>
      <c r="E1354" t="s">
        <v>45</v>
      </c>
      <c r="F1354" t="s">
        <v>27</v>
      </c>
      <c r="G1354" t="s">
        <v>23</v>
      </c>
      <c r="H1354">
        <v>1</v>
      </c>
      <c r="I1354">
        <v>6500</v>
      </c>
    </row>
    <row r="1355" spans="1:9" x14ac:dyDescent="0.3">
      <c r="A1355" s="1">
        <v>46074</v>
      </c>
      <c r="B1355">
        <v>2026</v>
      </c>
      <c r="C1355">
        <v>2</v>
      </c>
      <c r="D1355" t="s">
        <v>50</v>
      </c>
      <c r="E1355" t="s">
        <v>41</v>
      </c>
      <c r="F1355" t="s">
        <v>27</v>
      </c>
      <c r="G1355" t="s">
        <v>23</v>
      </c>
      <c r="H1355">
        <v>3</v>
      </c>
      <c r="I1355">
        <v>19500</v>
      </c>
    </row>
    <row r="1356" spans="1:9" x14ac:dyDescent="0.3">
      <c r="A1356" s="1">
        <v>46026</v>
      </c>
      <c r="B1356">
        <v>2026</v>
      </c>
      <c r="C1356">
        <v>1</v>
      </c>
      <c r="D1356" t="s">
        <v>51</v>
      </c>
      <c r="E1356" t="s">
        <v>45</v>
      </c>
      <c r="F1356" t="s">
        <v>27</v>
      </c>
      <c r="G1356" t="s">
        <v>23</v>
      </c>
      <c r="H1356">
        <v>2</v>
      </c>
      <c r="I1356">
        <v>13000</v>
      </c>
    </row>
    <row r="1357" spans="1:9" x14ac:dyDescent="0.3">
      <c r="A1357" s="1">
        <v>46323</v>
      </c>
      <c r="B1357">
        <v>2026</v>
      </c>
      <c r="C1357">
        <v>10</v>
      </c>
      <c r="D1357" t="s">
        <v>51</v>
      </c>
      <c r="E1357" t="s">
        <v>45</v>
      </c>
      <c r="F1357" t="s">
        <v>27</v>
      </c>
      <c r="G1357" t="s">
        <v>23</v>
      </c>
      <c r="H1357">
        <v>5</v>
      </c>
      <c r="I1357">
        <v>32500</v>
      </c>
    </row>
    <row r="1358" spans="1:9" x14ac:dyDescent="0.3">
      <c r="A1358" s="1">
        <v>46131</v>
      </c>
      <c r="B1358">
        <v>2026</v>
      </c>
      <c r="C1358">
        <v>4</v>
      </c>
      <c r="D1358" t="s">
        <v>42</v>
      </c>
      <c r="E1358" t="s">
        <v>43</v>
      </c>
      <c r="F1358" t="s">
        <v>27</v>
      </c>
      <c r="G1358" t="s">
        <v>23</v>
      </c>
      <c r="H1358">
        <v>2</v>
      </c>
      <c r="I1358">
        <v>13000</v>
      </c>
    </row>
    <row r="1359" spans="1:9" x14ac:dyDescent="0.3">
      <c r="A1359" s="1">
        <v>46308</v>
      </c>
      <c r="B1359">
        <v>2026</v>
      </c>
      <c r="C1359">
        <v>10</v>
      </c>
      <c r="D1359" t="s">
        <v>44</v>
      </c>
      <c r="E1359" t="s">
        <v>45</v>
      </c>
      <c r="F1359" t="s">
        <v>27</v>
      </c>
      <c r="G1359" t="s">
        <v>23</v>
      </c>
      <c r="H1359">
        <v>2</v>
      </c>
      <c r="I1359">
        <v>13000</v>
      </c>
    </row>
    <row r="1360" spans="1:9" x14ac:dyDescent="0.3">
      <c r="A1360" s="1">
        <v>46256</v>
      </c>
      <c r="B1360">
        <v>2026</v>
      </c>
      <c r="C1360">
        <v>8</v>
      </c>
      <c r="D1360" t="s">
        <v>50</v>
      </c>
      <c r="E1360" t="s">
        <v>41</v>
      </c>
      <c r="F1360" t="s">
        <v>27</v>
      </c>
      <c r="G1360" t="s">
        <v>23</v>
      </c>
      <c r="H1360">
        <v>4</v>
      </c>
      <c r="I1360">
        <v>26000</v>
      </c>
    </row>
    <row r="1361" spans="1:9" x14ac:dyDescent="0.3">
      <c r="A1361" s="1">
        <v>46167</v>
      </c>
      <c r="B1361">
        <v>2026</v>
      </c>
      <c r="C1361">
        <v>5</v>
      </c>
      <c r="D1361" t="s">
        <v>40</v>
      </c>
      <c r="E1361" t="s">
        <v>41</v>
      </c>
      <c r="F1361" t="s">
        <v>27</v>
      </c>
      <c r="G1361" t="s">
        <v>23</v>
      </c>
      <c r="H1361">
        <v>4</v>
      </c>
      <c r="I1361">
        <v>26000</v>
      </c>
    </row>
    <row r="1362" spans="1:9" x14ac:dyDescent="0.3">
      <c r="A1362" s="1">
        <v>46293</v>
      </c>
      <c r="B1362">
        <v>2026</v>
      </c>
      <c r="C1362">
        <v>9</v>
      </c>
      <c r="D1362" t="s">
        <v>44</v>
      </c>
      <c r="E1362" t="s">
        <v>45</v>
      </c>
      <c r="F1362" t="s">
        <v>27</v>
      </c>
      <c r="G1362" t="s">
        <v>23</v>
      </c>
      <c r="H1362">
        <v>5</v>
      </c>
      <c r="I1362">
        <v>32500</v>
      </c>
    </row>
    <row r="1363" spans="1:9" x14ac:dyDescent="0.3">
      <c r="A1363" s="1">
        <v>46131</v>
      </c>
      <c r="B1363">
        <v>2026</v>
      </c>
      <c r="C1363">
        <v>4</v>
      </c>
      <c r="D1363" t="s">
        <v>50</v>
      </c>
      <c r="E1363" t="s">
        <v>41</v>
      </c>
      <c r="F1363" t="s">
        <v>27</v>
      </c>
      <c r="G1363" t="s">
        <v>23</v>
      </c>
      <c r="H1363">
        <v>5</v>
      </c>
      <c r="I1363">
        <v>32500</v>
      </c>
    </row>
    <row r="1364" spans="1:9" x14ac:dyDescent="0.3">
      <c r="A1364" s="1">
        <v>46063</v>
      </c>
      <c r="B1364">
        <v>2026</v>
      </c>
      <c r="C1364">
        <v>2</v>
      </c>
      <c r="D1364" t="s">
        <v>48</v>
      </c>
      <c r="E1364" t="s">
        <v>43</v>
      </c>
      <c r="F1364" t="s">
        <v>27</v>
      </c>
      <c r="G1364" t="s">
        <v>23</v>
      </c>
      <c r="H1364">
        <v>2</v>
      </c>
      <c r="I1364">
        <v>13000</v>
      </c>
    </row>
    <row r="1365" spans="1:9" x14ac:dyDescent="0.3">
      <c r="A1365" s="1">
        <v>46095</v>
      </c>
      <c r="B1365">
        <v>2026</v>
      </c>
      <c r="C1365">
        <v>3</v>
      </c>
      <c r="D1365" t="s">
        <v>49</v>
      </c>
      <c r="E1365" t="s">
        <v>47</v>
      </c>
      <c r="F1365" t="s">
        <v>27</v>
      </c>
      <c r="G1365" t="s">
        <v>23</v>
      </c>
      <c r="H1365">
        <v>2</v>
      </c>
      <c r="I1365">
        <v>13000</v>
      </c>
    </row>
    <row r="1366" spans="1:9" x14ac:dyDescent="0.3">
      <c r="A1366" s="1">
        <v>46042</v>
      </c>
      <c r="B1366">
        <v>2026</v>
      </c>
      <c r="C1366">
        <v>1</v>
      </c>
      <c r="D1366" t="s">
        <v>48</v>
      </c>
      <c r="E1366" t="s">
        <v>43</v>
      </c>
      <c r="F1366" t="s">
        <v>27</v>
      </c>
      <c r="G1366" t="s">
        <v>23</v>
      </c>
      <c r="H1366">
        <v>1</v>
      </c>
      <c r="I1366">
        <v>6500</v>
      </c>
    </row>
    <row r="1367" spans="1:9" x14ac:dyDescent="0.3">
      <c r="A1367" s="1">
        <v>46075</v>
      </c>
      <c r="B1367">
        <v>2026</v>
      </c>
      <c r="C1367">
        <v>2</v>
      </c>
      <c r="D1367" t="s">
        <v>44</v>
      </c>
      <c r="E1367" t="s">
        <v>45</v>
      </c>
      <c r="F1367" t="s">
        <v>27</v>
      </c>
      <c r="G1367" t="s">
        <v>23</v>
      </c>
      <c r="H1367">
        <v>3</v>
      </c>
      <c r="I1367">
        <v>19500</v>
      </c>
    </row>
    <row r="1368" spans="1:9" x14ac:dyDescent="0.3">
      <c r="A1368" s="1">
        <v>46261</v>
      </c>
      <c r="B1368">
        <v>2026</v>
      </c>
      <c r="C1368">
        <v>8</v>
      </c>
      <c r="D1368" t="s">
        <v>51</v>
      </c>
      <c r="E1368" t="s">
        <v>45</v>
      </c>
      <c r="F1368" t="s">
        <v>27</v>
      </c>
      <c r="G1368" t="s">
        <v>23</v>
      </c>
      <c r="H1368">
        <v>5</v>
      </c>
      <c r="I1368">
        <v>32500</v>
      </c>
    </row>
    <row r="1369" spans="1:9" x14ac:dyDescent="0.3">
      <c r="A1369" s="1">
        <v>46185</v>
      </c>
      <c r="B1369">
        <v>2026</v>
      </c>
      <c r="C1369">
        <v>6</v>
      </c>
      <c r="D1369" t="s">
        <v>42</v>
      </c>
      <c r="E1369" t="s">
        <v>43</v>
      </c>
      <c r="F1369" t="s">
        <v>27</v>
      </c>
      <c r="G1369" t="s">
        <v>23</v>
      </c>
      <c r="H1369">
        <v>5</v>
      </c>
      <c r="I1369">
        <v>32500</v>
      </c>
    </row>
    <row r="1370" spans="1:9" x14ac:dyDescent="0.3">
      <c r="A1370" s="1">
        <v>46115</v>
      </c>
      <c r="B1370">
        <v>2026</v>
      </c>
      <c r="C1370">
        <v>4</v>
      </c>
      <c r="D1370" t="s">
        <v>48</v>
      </c>
      <c r="E1370" t="s">
        <v>43</v>
      </c>
      <c r="F1370" t="s">
        <v>27</v>
      </c>
      <c r="G1370" t="s">
        <v>23</v>
      </c>
      <c r="H1370">
        <v>3</v>
      </c>
      <c r="I1370">
        <v>19500</v>
      </c>
    </row>
    <row r="1371" spans="1:9" x14ac:dyDescent="0.3">
      <c r="A1371" s="1">
        <v>46043</v>
      </c>
      <c r="B1371">
        <v>2026</v>
      </c>
      <c r="C1371">
        <v>1</v>
      </c>
      <c r="D1371" t="s">
        <v>44</v>
      </c>
      <c r="E1371" t="s">
        <v>45</v>
      </c>
      <c r="F1371" t="s">
        <v>27</v>
      </c>
      <c r="G1371" t="s">
        <v>23</v>
      </c>
      <c r="H1371">
        <v>3</v>
      </c>
      <c r="I1371">
        <v>19500</v>
      </c>
    </row>
    <row r="1372" spans="1:9" x14ac:dyDescent="0.3">
      <c r="A1372" s="1">
        <v>46082</v>
      </c>
      <c r="B1372">
        <v>2026</v>
      </c>
      <c r="C1372">
        <v>3</v>
      </c>
      <c r="D1372" t="s">
        <v>49</v>
      </c>
      <c r="E1372" t="s">
        <v>47</v>
      </c>
      <c r="F1372" t="s">
        <v>27</v>
      </c>
      <c r="G1372" t="s">
        <v>23</v>
      </c>
      <c r="H1372">
        <v>2</v>
      </c>
      <c r="I1372">
        <v>13000</v>
      </c>
    </row>
    <row r="1373" spans="1:9" x14ac:dyDescent="0.3">
      <c r="A1373" s="1">
        <v>46062</v>
      </c>
      <c r="B1373">
        <v>2026</v>
      </c>
      <c r="C1373">
        <v>2</v>
      </c>
      <c r="D1373" t="s">
        <v>40</v>
      </c>
      <c r="E1373" t="s">
        <v>41</v>
      </c>
      <c r="F1373" t="s">
        <v>27</v>
      </c>
      <c r="G1373" t="s">
        <v>23</v>
      </c>
      <c r="H1373">
        <v>4</v>
      </c>
      <c r="I1373">
        <v>26000</v>
      </c>
    </row>
    <row r="1374" spans="1:9" x14ac:dyDescent="0.3">
      <c r="A1374" s="1">
        <v>46211</v>
      </c>
      <c r="B1374">
        <v>2026</v>
      </c>
      <c r="C1374">
        <v>7</v>
      </c>
      <c r="D1374" t="s">
        <v>40</v>
      </c>
      <c r="E1374" t="s">
        <v>41</v>
      </c>
      <c r="F1374" t="s">
        <v>27</v>
      </c>
      <c r="G1374" t="s">
        <v>23</v>
      </c>
      <c r="H1374">
        <v>1</v>
      </c>
      <c r="I1374">
        <v>6500</v>
      </c>
    </row>
    <row r="1375" spans="1:9" x14ac:dyDescent="0.3">
      <c r="A1375" s="1">
        <v>46283</v>
      </c>
      <c r="B1375">
        <v>2026</v>
      </c>
      <c r="C1375">
        <v>9</v>
      </c>
      <c r="D1375" t="s">
        <v>49</v>
      </c>
      <c r="E1375" t="s">
        <v>47</v>
      </c>
      <c r="F1375" t="s">
        <v>27</v>
      </c>
      <c r="G1375" t="s">
        <v>23</v>
      </c>
      <c r="H1375">
        <v>4</v>
      </c>
      <c r="I1375">
        <v>26000</v>
      </c>
    </row>
    <row r="1376" spans="1:9" x14ac:dyDescent="0.3">
      <c r="A1376" s="1">
        <v>46295</v>
      </c>
      <c r="B1376">
        <v>2026</v>
      </c>
      <c r="C1376">
        <v>9</v>
      </c>
      <c r="D1376" t="s">
        <v>42</v>
      </c>
      <c r="E1376" t="s">
        <v>43</v>
      </c>
      <c r="F1376" t="s">
        <v>27</v>
      </c>
      <c r="G1376" t="s">
        <v>23</v>
      </c>
      <c r="H1376">
        <v>5</v>
      </c>
      <c r="I1376">
        <v>32500</v>
      </c>
    </row>
    <row r="1377" spans="1:9" x14ac:dyDescent="0.3">
      <c r="A1377" s="1">
        <v>46045</v>
      </c>
      <c r="B1377">
        <v>2026</v>
      </c>
      <c r="C1377">
        <v>1</v>
      </c>
      <c r="D1377" t="s">
        <v>51</v>
      </c>
      <c r="E1377" t="s">
        <v>45</v>
      </c>
      <c r="F1377" t="s">
        <v>27</v>
      </c>
      <c r="G1377" t="s">
        <v>23</v>
      </c>
      <c r="H1377">
        <v>1</v>
      </c>
      <c r="I1377">
        <v>6500</v>
      </c>
    </row>
    <row r="1378" spans="1:9" x14ac:dyDescent="0.3">
      <c r="A1378" s="1">
        <v>46311</v>
      </c>
      <c r="B1378">
        <v>2026</v>
      </c>
      <c r="C1378">
        <v>10</v>
      </c>
      <c r="D1378" t="s">
        <v>50</v>
      </c>
      <c r="E1378" t="s">
        <v>41</v>
      </c>
      <c r="F1378" t="s">
        <v>27</v>
      </c>
      <c r="G1378" t="s">
        <v>23</v>
      </c>
      <c r="H1378">
        <v>1</v>
      </c>
      <c r="I1378">
        <v>6500</v>
      </c>
    </row>
    <row r="1379" spans="1:9" x14ac:dyDescent="0.3">
      <c r="A1379" s="1">
        <v>46245</v>
      </c>
      <c r="B1379">
        <v>2026</v>
      </c>
      <c r="C1379">
        <v>8</v>
      </c>
      <c r="D1379" t="s">
        <v>40</v>
      </c>
      <c r="E1379" t="s">
        <v>41</v>
      </c>
      <c r="F1379" t="s">
        <v>27</v>
      </c>
      <c r="G1379" t="s">
        <v>23</v>
      </c>
      <c r="H1379">
        <v>4</v>
      </c>
      <c r="I1379">
        <v>26000</v>
      </c>
    </row>
    <row r="1380" spans="1:9" x14ac:dyDescent="0.3">
      <c r="A1380" s="1">
        <v>46157</v>
      </c>
      <c r="B1380">
        <v>2026</v>
      </c>
      <c r="C1380">
        <v>5</v>
      </c>
      <c r="D1380" t="s">
        <v>44</v>
      </c>
      <c r="E1380" t="s">
        <v>45</v>
      </c>
      <c r="F1380" t="s">
        <v>27</v>
      </c>
      <c r="G1380" t="s">
        <v>23</v>
      </c>
      <c r="H1380">
        <v>1</v>
      </c>
      <c r="I1380">
        <v>6500</v>
      </c>
    </row>
    <row r="1381" spans="1:9" x14ac:dyDescent="0.3">
      <c r="A1381" s="1">
        <v>46111</v>
      </c>
      <c r="B1381">
        <v>2026</v>
      </c>
      <c r="C1381">
        <v>3</v>
      </c>
      <c r="D1381" t="s">
        <v>48</v>
      </c>
      <c r="E1381" t="s">
        <v>43</v>
      </c>
      <c r="F1381" t="s">
        <v>27</v>
      </c>
      <c r="G1381" t="s">
        <v>23</v>
      </c>
      <c r="H1381">
        <v>3</v>
      </c>
      <c r="I1381">
        <v>19500</v>
      </c>
    </row>
    <row r="1382" spans="1:9" x14ac:dyDescent="0.3">
      <c r="A1382" s="1">
        <v>46278</v>
      </c>
      <c r="B1382">
        <v>2026</v>
      </c>
      <c r="C1382">
        <v>9</v>
      </c>
      <c r="D1382" t="s">
        <v>50</v>
      </c>
      <c r="E1382" t="s">
        <v>41</v>
      </c>
      <c r="F1382" t="s">
        <v>27</v>
      </c>
      <c r="G1382" t="s">
        <v>23</v>
      </c>
      <c r="H1382">
        <v>3</v>
      </c>
      <c r="I1382">
        <v>19500</v>
      </c>
    </row>
    <row r="1383" spans="1:9" x14ac:dyDescent="0.3">
      <c r="A1383" s="1">
        <v>46051</v>
      </c>
      <c r="B1383">
        <v>2026</v>
      </c>
      <c r="C1383">
        <v>1</v>
      </c>
      <c r="D1383" t="s">
        <v>48</v>
      </c>
      <c r="E1383" t="s">
        <v>43</v>
      </c>
      <c r="F1383" t="s">
        <v>27</v>
      </c>
      <c r="G1383" t="s">
        <v>23</v>
      </c>
      <c r="H1383">
        <v>4</v>
      </c>
      <c r="I1383">
        <v>26000</v>
      </c>
    </row>
    <row r="1384" spans="1:9" x14ac:dyDescent="0.3">
      <c r="A1384" s="1">
        <v>46280</v>
      </c>
      <c r="B1384">
        <v>2026</v>
      </c>
      <c r="C1384">
        <v>9</v>
      </c>
      <c r="D1384" t="s">
        <v>44</v>
      </c>
      <c r="E1384" t="s">
        <v>45</v>
      </c>
      <c r="F1384" t="s">
        <v>27</v>
      </c>
      <c r="G1384" t="s">
        <v>23</v>
      </c>
      <c r="H1384">
        <v>5</v>
      </c>
      <c r="I1384">
        <v>32500</v>
      </c>
    </row>
    <row r="1385" spans="1:9" x14ac:dyDescent="0.3">
      <c r="A1385" s="1">
        <v>46225</v>
      </c>
      <c r="B1385">
        <v>2026</v>
      </c>
      <c r="C1385">
        <v>7</v>
      </c>
      <c r="D1385" t="s">
        <v>48</v>
      </c>
      <c r="E1385" t="s">
        <v>43</v>
      </c>
      <c r="F1385" t="s">
        <v>27</v>
      </c>
      <c r="G1385" t="s">
        <v>23</v>
      </c>
      <c r="H1385">
        <v>5</v>
      </c>
      <c r="I1385">
        <v>32500</v>
      </c>
    </row>
    <row r="1386" spans="1:9" x14ac:dyDescent="0.3">
      <c r="A1386" s="1">
        <v>46241</v>
      </c>
      <c r="B1386">
        <v>2026</v>
      </c>
      <c r="C1386">
        <v>8</v>
      </c>
      <c r="D1386" t="s">
        <v>44</v>
      </c>
      <c r="E1386" t="s">
        <v>45</v>
      </c>
      <c r="F1386" t="s">
        <v>27</v>
      </c>
      <c r="G1386" t="s">
        <v>23</v>
      </c>
      <c r="H1386">
        <v>3</v>
      </c>
      <c r="I1386">
        <v>19500</v>
      </c>
    </row>
    <row r="1387" spans="1:9" x14ac:dyDescent="0.3">
      <c r="A1387" s="1">
        <v>46092</v>
      </c>
      <c r="B1387">
        <v>2026</v>
      </c>
      <c r="C1387">
        <v>3</v>
      </c>
      <c r="D1387" t="s">
        <v>50</v>
      </c>
      <c r="E1387" t="s">
        <v>41</v>
      </c>
      <c r="F1387" t="s">
        <v>27</v>
      </c>
      <c r="G1387" t="s">
        <v>23</v>
      </c>
      <c r="H1387">
        <v>3</v>
      </c>
      <c r="I1387">
        <v>19500</v>
      </c>
    </row>
    <row r="1388" spans="1:9" x14ac:dyDescent="0.3">
      <c r="A1388" s="1">
        <v>46309</v>
      </c>
      <c r="B1388">
        <v>2026</v>
      </c>
      <c r="C1388">
        <v>10</v>
      </c>
      <c r="D1388" t="s">
        <v>49</v>
      </c>
      <c r="E1388" t="s">
        <v>47</v>
      </c>
      <c r="F1388" t="s">
        <v>27</v>
      </c>
      <c r="G1388" t="s">
        <v>23</v>
      </c>
      <c r="H1388">
        <v>4</v>
      </c>
      <c r="I1388">
        <v>26000</v>
      </c>
    </row>
    <row r="1389" spans="1:9" x14ac:dyDescent="0.3">
      <c r="A1389" s="1">
        <v>46110</v>
      </c>
      <c r="B1389">
        <v>2026</v>
      </c>
      <c r="C1389">
        <v>3</v>
      </c>
      <c r="D1389" t="s">
        <v>46</v>
      </c>
      <c r="E1389" t="s">
        <v>47</v>
      </c>
      <c r="F1389" t="s">
        <v>27</v>
      </c>
      <c r="G1389" t="s">
        <v>23</v>
      </c>
      <c r="H1389">
        <v>5</v>
      </c>
      <c r="I1389">
        <v>32500</v>
      </c>
    </row>
    <row r="1390" spans="1:9" x14ac:dyDescent="0.3">
      <c r="A1390" s="1">
        <v>46287</v>
      </c>
      <c r="B1390">
        <v>2026</v>
      </c>
      <c r="C1390">
        <v>9</v>
      </c>
      <c r="D1390" t="s">
        <v>50</v>
      </c>
      <c r="E1390" t="s">
        <v>41</v>
      </c>
      <c r="F1390" t="s">
        <v>27</v>
      </c>
      <c r="G1390" t="s">
        <v>23</v>
      </c>
      <c r="H1390">
        <v>1</v>
      </c>
      <c r="I1390">
        <v>6500</v>
      </c>
    </row>
    <row r="1391" spans="1:9" x14ac:dyDescent="0.3">
      <c r="A1391" s="1">
        <v>46194</v>
      </c>
      <c r="B1391">
        <v>2026</v>
      </c>
      <c r="C1391">
        <v>6</v>
      </c>
      <c r="D1391" t="s">
        <v>46</v>
      </c>
      <c r="E1391" t="s">
        <v>47</v>
      </c>
      <c r="F1391" t="s">
        <v>27</v>
      </c>
      <c r="G1391" t="s">
        <v>23</v>
      </c>
      <c r="H1391">
        <v>4</v>
      </c>
      <c r="I1391">
        <v>26000</v>
      </c>
    </row>
    <row r="1392" spans="1:9" x14ac:dyDescent="0.3">
      <c r="A1392" s="1">
        <v>46302</v>
      </c>
      <c r="B1392">
        <v>2026</v>
      </c>
      <c r="C1392">
        <v>10</v>
      </c>
      <c r="D1392" t="s">
        <v>44</v>
      </c>
      <c r="E1392" t="s">
        <v>45</v>
      </c>
      <c r="F1392" t="s">
        <v>27</v>
      </c>
      <c r="G1392" t="s">
        <v>23</v>
      </c>
      <c r="H1392">
        <v>4</v>
      </c>
      <c r="I1392">
        <v>26000</v>
      </c>
    </row>
    <row r="1393" spans="1:9" x14ac:dyDescent="0.3">
      <c r="A1393" s="1">
        <v>46164</v>
      </c>
      <c r="B1393">
        <v>2026</v>
      </c>
      <c r="C1393">
        <v>5</v>
      </c>
      <c r="D1393" t="s">
        <v>51</v>
      </c>
      <c r="E1393" t="s">
        <v>45</v>
      </c>
      <c r="F1393" t="s">
        <v>27</v>
      </c>
      <c r="G1393" t="s">
        <v>23</v>
      </c>
      <c r="H1393">
        <v>1</v>
      </c>
      <c r="I1393">
        <v>6500</v>
      </c>
    </row>
    <row r="1394" spans="1:9" x14ac:dyDescent="0.3">
      <c r="A1394" s="1">
        <v>46107</v>
      </c>
      <c r="B1394">
        <v>2026</v>
      </c>
      <c r="C1394">
        <v>3</v>
      </c>
      <c r="D1394" t="s">
        <v>48</v>
      </c>
      <c r="E1394" t="s">
        <v>43</v>
      </c>
      <c r="F1394" t="s">
        <v>27</v>
      </c>
      <c r="G1394" t="s">
        <v>23</v>
      </c>
      <c r="H1394">
        <v>1</v>
      </c>
      <c r="I1394">
        <v>6500</v>
      </c>
    </row>
    <row r="1395" spans="1:9" x14ac:dyDescent="0.3">
      <c r="A1395" s="1">
        <v>46074</v>
      </c>
      <c r="B1395">
        <v>2026</v>
      </c>
      <c r="C1395">
        <v>2</v>
      </c>
      <c r="D1395" t="s">
        <v>40</v>
      </c>
      <c r="E1395" t="s">
        <v>41</v>
      </c>
      <c r="F1395" t="s">
        <v>27</v>
      </c>
      <c r="G1395" t="s">
        <v>23</v>
      </c>
      <c r="H1395">
        <v>1</v>
      </c>
      <c r="I1395">
        <v>6500</v>
      </c>
    </row>
    <row r="1396" spans="1:9" x14ac:dyDescent="0.3">
      <c r="A1396" s="1">
        <v>46286</v>
      </c>
      <c r="B1396">
        <v>2026</v>
      </c>
      <c r="C1396">
        <v>9</v>
      </c>
      <c r="D1396" t="s">
        <v>46</v>
      </c>
      <c r="E1396" t="s">
        <v>47</v>
      </c>
      <c r="F1396" t="s">
        <v>27</v>
      </c>
      <c r="G1396" t="s">
        <v>23</v>
      </c>
      <c r="H1396">
        <v>5</v>
      </c>
      <c r="I1396">
        <v>32500</v>
      </c>
    </row>
    <row r="1397" spans="1:9" x14ac:dyDescent="0.3">
      <c r="A1397" s="1">
        <v>46028</v>
      </c>
      <c r="B1397">
        <v>2026</v>
      </c>
      <c r="C1397">
        <v>1</v>
      </c>
      <c r="D1397" t="s">
        <v>44</v>
      </c>
      <c r="E1397" t="s">
        <v>45</v>
      </c>
      <c r="F1397" t="s">
        <v>27</v>
      </c>
      <c r="G1397" t="s">
        <v>23</v>
      </c>
      <c r="H1397">
        <v>1</v>
      </c>
      <c r="I1397">
        <v>6500</v>
      </c>
    </row>
    <row r="1398" spans="1:9" x14ac:dyDescent="0.3">
      <c r="A1398" s="1">
        <v>46314</v>
      </c>
      <c r="B1398">
        <v>2026</v>
      </c>
      <c r="C1398">
        <v>10</v>
      </c>
      <c r="D1398" t="s">
        <v>48</v>
      </c>
      <c r="E1398" t="s">
        <v>43</v>
      </c>
      <c r="F1398" t="s">
        <v>27</v>
      </c>
      <c r="G1398" t="s">
        <v>23</v>
      </c>
      <c r="H1398">
        <v>3</v>
      </c>
      <c r="I1398">
        <v>19500</v>
      </c>
    </row>
    <row r="1399" spans="1:9" x14ac:dyDescent="0.3">
      <c r="A1399" s="1">
        <v>46203</v>
      </c>
      <c r="B1399">
        <v>2026</v>
      </c>
      <c r="C1399">
        <v>6</v>
      </c>
      <c r="D1399" t="s">
        <v>40</v>
      </c>
      <c r="E1399" t="s">
        <v>41</v>
      </c>
      <c r="F1399" t="s">
        <v>27</v>
      </c>
      <c r="G1399" t="s">
        <v>23</v>
      </c>
      <c r="H1399">
        <v>4</v>
      </c>
      <c r="I1399">
        <v>26000</v>
      </c>
    </row>
    <row r="1400" spans="1:9" x14ac:dyDescent="0.3">
      <c r="A1400" s="1">
        <v>46164</v>
      </c>
      <c r="B1400">
        <v>2026</v>
      </c>
      <c r="C1400">
        <v>5</v>
      </c>
      <c r="D1400" t="s">
        <v>46</v>
      </c>
      <c r="E1400" t="s">
        <v>47</v>
      </c>
      <c r="F1400" t="s">
        <v>27</v>
      </c>
      <c r="G1400" t="s">
        <v>23</v>
      </c>
      <c r="H1400">
        <v>4</v>
      </c>
      <c r="I1400">
        <v>26000</v>
      </c>
    </row>
    <row r="1401" spans="1:9" x14ac:dyDescent="0.3">
      <c r="A1401" s="1">
        <v>46301</v>
      </c>
      <c r="B1401">
        <v>2026</v>
      </c>
      <c r="C1401">
        <v>10</v>
      </c>
      <c r="D1401" t="s">
        <v>48</v>
      </c>
      <c r="E1401" t="s">
        <v>43</v>
      </c>
      <c r="F1401" t="s">
        <v>27</v>
      </c>
      <c r="G1401" t="s">
        <v>23</v>
      </c>
      <c r="H1401">
        <v>5</v>
      </c>
      <c r="I1401">
        <v>32500</v>
      </c>
    </row>
    <row r="1402" spans="1:9" x14ac:dyDescent="0.3">
      <c r="A1402" s="1">
        <v>46082</v>
      </c>
      <c r="B1402">
        <v>2026</v>
      </c>
      <c r="C1402">
        <v>3</v>
      </c>
      <c r="D1402" t="s">
        <v>50</v>
      </c>
      <c r="E1402" t="s">
        <v>41</v>
      </c>
      <c r="F1402" t="s">
        <v>27</v>
      </c>
      <c r="G1402" t="s">
        <v>23</v>
      </c>
      <c r="H1402">
        <v>4</v>
      </c>
      <c r="I1402">
        <v>26000</v>
      </c>
    </row>
    <row r="1403" spans="1:9" x14ac:dyDescent="0.3">
      <c r="A1403" s="1">
        <v>46197</v>
      </c>
      <c r="B1403">
        <v>2026</v>
      </c>
      <c r="C1403">
        <v>6</v>
      </c>
      <c r="D1403" t="s">
        <v>50</v>
      </c>
      <c r="E1403" t="s">
        <v>41</v>
      </c>
      <c r="F1403" t="s">
        <v>27</v>
      </c>
      <c r="G1403" t="s">
        <v>23</v>
      </c>
      <c r="H1403">
        <v>1</v>
      </c>
      <c r="I1403">
        <v>6500</v>
      </c>
    </row>
    <row r="1404" spans="1:9" x14ac:dyDescent="0.3">
      <c r="A1404" s="1">
        <v>46217</v>
      </c>
      <c r="B1404">
        <v>2026</v>
      </c>
      <c r="C1404">
        <v>7</v>
      </c>
      <c r="D1404" t="s">
        <v>42</v>
      </c>
      <c r="E1404" t="s">
        <v>43</v>
      </c>
      <c r="F1404" t="s">
        <v>27</v>
      </c>
      <c r="G1404" t="s">
        <v>23</v>
      </c>
      <c r="H1404">
        <v>4</v>
      </c>
      <c r="I1404">
        <v>26000</v>
      </c>
    </row>
    <row r="1405" spans="1:9" x14ac:dyDescent="0.3">
      <c r="A1405" s="1">
        <v>46023</v>
      </c>
      <c r="B1405">
        <v>2026</v>
      </c>
      <c r="C1405">
        <v>1</v>
      </c>
      <c r="D1405" t="s">
        <v>48</v>
      </c>
      <c r="E1405" t="s">
        <v>43</v>
      </c>
      <c r="F1405" t="s">
        <v>27</v>
      </c>
      <c r="G1405" t="s">
        <v>23</v>
      </c>
      <c r="H1405">
        <v>2</v>
      </c>
      <c r="I1405">
        <v>13000</v>
      </c>
    </row>
    <row r="1406" spans="1:9" x14ac:dyDescent="0.3">
      <c r="A1406" s="1">
        <v>46224</v>
      </c>
      <c r="B1406">
        <v>2026</v>
      </c>
      <c r="C1406">
        <v>7</v>
      </c>
      <c r="D1406" t="s">
        <v>51</v>
      </c>
      <c r="E1406" t="s">
        <v>45</v>
      </c>
      <c r="F1406" t="s">
        <v>27</v>
      </c>
      <c r="G1406" t="s">
        <v>23</v>
      </c>
      <c r="H1406">
        <v>5</v>
      </c>
      <c r="I1406">
        <v>32500</v>
      </c>
    </row>
    <row r="1407" spans="1:9" x14ac:dyDescent="0.3">
      <c r="A1407" s="1">
        <v>46299</v>
      </c>
      <c r="B1407">
        <v>2026</v>
      </c>
      <c r="C1407">
        <v>10</v>
      </c>
      <c r="D1407" t="s">
        <v>40</v>
      </c>
      <c r="E1407" t="s">
        <v>41</v>
      </c>
      <c r="F1407" t="s">
        <v>27</v>
      </c>
      <c r="G1407" t="s">
        <v>23</v>
      </c>
      <c r="H1407">
        <v>4</v>
      </c>
      <c r="I1407">
        <v>26000</v>
      </c>
    </row>
    <row r="1408" spans="1:9" x14ac:dyDescent="0.3">
      <c r="A1408" s="1">
        <v>46227</v>
      </c>
      <c r="B1408">
        <v>2026</v>
      </c>
      <c r="C1408">
        <v>7</v>
      </c>
      <c r="D1408" t="s">
        <v>48</v>
      </c>
      <c r="E1408" t="s">
        <v>43</v>
      </c>
      <c r="F1408" t="s">
        <v>27</v>
      </c>
      <c r="G1408" t="s">
        <v>23</v>
      </c>
      <c r="H1408">
        <v>1</v>
      </c>
      <c r="I1408">
        <v>6500</v>
      </c>
    </row>
    <row r="1409" spans="1:9" x14ac:dyDescent="0.3">
      <c r="A1409" s="1">
        <v>46278</v>
      </c>
      <c r="B1409">
        <v>2026</v>
      </c>
      <c r="C1409">
        <v>9</v>
      </c>
      <c r="D1409" t="s">
        <v>44</v>
      </c>
      <c r="E1409" t="s">
        <v>45</v>
      </c>
      <c r="F1409" t="s">
        <v>27</v>
      </c>
      <c r="G1409" t="s">
        <v>23</v>
      </c>
      <c r="H1409">
        <v>4</v>
      </c>
      <c r="I1409">
        <v>26000</v>
      </c>
    </row>
    <row r="1410" spans="1:9" x14ac:dyDescent="0.3">
      <c r="A1410" s="1">
        <v>46198</v>
      </c>
      <c r="B1410">
        <v>2026</v>
      </c>
      <c r="C1410">
        <v>6</v>
      </c>
      <c r="D1410" t="s">
        <v>48</v>
      </c>
      <c r="E1410" t="s">
        <v>43</v>
      </c>
      <c r="F1410" t="s">
        <v>27</v>
      </c>
      <c r="G1410" t="s">
        <v>23</v>
      </c>
      <c r="H1410">
        <v>1</v>
      </c>
      <c r="I1410">
        <v>6500</v>
      </c>
    </row>
    <row r="1411" spans="1:9" x14ac:dyDescent="0.3">
      <c r="A1411" s="1">
        <v>46185</v>
      </c>
      <c r="B1411">
        <v>2026</v>
      </c>
      <c r="C1411">
        <v>6</v>
      </c>
      <c r="D1411" t="s">
        <v>44</v>
      </c>
      <c r="E1411" t="s">
        <v>45</v>
      </c>
      <c r="F1411" t="s">
        <v>27</v>
      </c>
      <c r="G1411" t="s">
        <v>23</v>
      </c>
      <c r="H1411">
        <v>3</v>
      </c>
      <c r="I1411">
        <v>19500</v>
      </c>
    </row>
    <row r="1412" spans="1:9" x14ac:dyDescent="0.3">
      <c r="A1412" s="1">
        <v>46106</v>
      </c>
      <c r="B1412">
        <v>2026</v>
      </c>
      <c r="C1412">
        <v>3</v>
      </c>
      <c r="D1412" t="s">
        <v>44</v>
      </c>
      <c r="E1412" t="s">
        <v>45</v>
      </c>
      <c r="F1412" t="s">
        <v>27</v>
      </c>
      <c r="G1412" t="s">
        <v>23</v>
      </c>
      <c r="H1412">
        <v>1</v>
      </c>
      <c r="I1412">
        <v>6500</v>
      </c>
    </row>
    <row r="1413" spans="1:9" x14ac:dyDescent="0.3">
      <c r="A1413" s="1">
        <v>46245</v>
      </c>
      <c r="B1413">
        <v>2026</v>
      </c>
      <c r="C1413">
        <v>8</v>
      </c>
      <c r="D1413" t="s">
        <v>40</v>
      </c>
      <c r="E1413" t="s">
        <v>41</v>
      </c>
      <c r="F1413" t="s">
        <v>27</v>
      </c>
      <c r="G1413" t="s">
        <v>23</v>
      </c>
      <c r="H1413">
        <v>1</v>
      </c>
      <c r="I1413">
        <v>6500</v>
      </c>
    </row>
    <row r="1414" spans="1:9" x14ac:dyDescent="0.3">
      <c r="A1414" s="1">
        <v>46319</v>
      </c>
      <c r="B1414">
        <v>2026</v>
      </c>
      <c r="C1414">
        <v>10</v>
      </c>
      <c r="D1414" t="s">
        <v>49</v>
      </c>
      <c r="E1414" t="s">
        <v>47</v>
      </c>
      <c r="F1414" t="s">
        <v>27</v>
      </c>
      <c r="G1414" t="s">
        <v>23</v>
      </c>
      <c r="H1414">
        <v>3</v>
      </c>
      <c r="I1414">
        <v>19500</v>
      </c>
    </row>
    <row r="1415" spans="1:9" x14ac:dyDescent="0.3">
      <c r="A1415" s="1">
        <v>46248</v>
      </c>
      <c r="B1415">
        <v>2026</v>
      </c>
      <c r="C1415">
        <v>8</v>
      </c>
      <c r="D1415" t="s">
        <v>42</v>
      </c>
      <c r="E1415" t="s">
        <v>43</v>
      </c>
      <c r="F1415" t="s">
        <v>27</v>
      </c>
      <c r="G1415" t="s">
        <v>23</v>
      </c>
      <c r="H1415">
        <v>4</v>
      </c>
      <c r="I1415">
        <v>26000</v>
      </c>
    </row>
    <row r="1416" spans="1:9" x14ac:dyDescent="0.3">
      <c r="A1416" s="1">
        <v>46153</v>
      </c>
      <c r="B1416">
        <v>2026</v>
      </c>
      <c r="C1416">
        <v>5</v>
      </c>
      <c r="D1416" t="s">
        <v>49</v>
      </c>
      <c r="E1416" t="s">
        <v>47</v>
      </c>
      <c r="F1416" t="s">
        <v>27</v>
      </c>
      <c r="G1416" t="s">
        <v>23</v>
      </c>
      <c r="H1416">
        <v>1</v>
      </c>
      <c r="I1416">
        <v>6500</v>
      </c>
    </row>
    <row r="1417" spans="1:9" x14ac:dyDescent="0.3">
      <c r="A1417" s="1">
        <v>46138</v>
      </c>
      <c r="B1417">
        <v>2026</v>
      </c>
      <c r="C1417">
        <v>4</v>
      </c>
      <c r="D1417" t="s">
        <v>50</v>
      </c>
      <c r="E1417" t="s">
        <v>41</v>
      </c>
      <c r="F1417" t="s">
        <v>27</v>
      </c>
      <c r="G1417" t="s">
        <v>23</v>
      </c>
      <c r="H1417">
        <v>2</v>
      </c>
      <c r="I1417">
        <v>13000</v>
      </c>
    </row>
    <row r="1418" spans="1:9" x14ac:dyDescent="0.3">
      <c r="A1418" s="1">
        <v>46220</v>
      </c>
      <c r="B1418">
        <v>2026</v>
      </c>
      <c r="C1418">
        <v>7</v>
      </c>
      <c r="D1418" t="s">
        <v>48</v>
      </c>
      <c r="E1418" t="s">
        <v>43</v>
      </c>
      <c r="F1418" t="s">
        <v>27</v>
      </c>
      <c r="G1418" t="s">
        <v>23</v>
      </c>
      <c r="H1418">
        <v>5</v>
      </c>
      <c r="I1418">
        <v>32500</v>
      </c>
    </row>
    <row r="1419" spans="1:9" x14ac:dyDescent="0.3">
      <c r="A1419" s="1">
        <v>46069</v>
      </c>
      <c r="B1419">
        <v>2026</v>
      </c>
      <c r="C1419">
        <v>2</v>
      </c>
      <c r="D1419" t="s">
        <v>49</v>
      </c>
      <c r="E1419" t="s">
        <v>47</v>
      </c>
      <c r="F1419" t="s">
        <v>27</v>
      </c>
      <c r="G1419" t="s">
        <v>23</v>
      </c>
      <c r="H1419">
        <v>3</v>
      </c>
      <c r="I1419">
        <v>19500</v>
      </c>
    </row>
    <row r="1420" spans="1:9" x14ac:dyDescent="0.3">
      <c r="A1420" s="1">
        <v>46169</v>
      </c>
      <c r="B1420">
        <v>2026</v>
      </c>
      <c r="C1420">
        <v>5</v>
      </c>
      <c r="D1420" t="s">
        <v>51</v>
      </c>
      <c r="E1420" t="s">
        <v>45</v>
      </c>
      <c r="F1420" t="s">
        <v>27</v>
      </c>
      <c r="G1420" t="s">
        <v>23</v>
      </c>
      <c r="H1420">
        <v>4</v>
      </c>
      <c r="I1420">
        <v>26000</v>
      </c>
    </row>
    <row r="1421" spans="1:9" x14ac:dyDescent="0.3">
      <c r="A1421" s="1">
        <v>46221</v>
      </c>
      <c r="B1421">
        <v>2026</v>
      </c>
      <c r="C1421">
        <v>7</v>
      </c>
      <c r="D1421" t="s">
        <v>51</v>
      </c>
      <c r="E1421" t="s">
        <v>45</v>
      </c>
      <c r="F1421" t="s">
        <v>27</v>
      </c>
      <c r="G1421" t="s">
        <v>23</v>
      </c>
      <c r="H1421">
        <v>2</v>
      </c>
      <c r="I1421">
        <v>13000</v>
      </c>
    </row>
    <row r="1422" spans="1:9" x14ac:dyDescent="0.3">
      <c r="A1422" s="1">
        <v>46305</v>
      </c>
      <c r="B1422">
        <v>2026</v>
      </c>
      <c r="C1422">
        <v>10</v>
      </c>
      <c r="D1422" t="s">
        <v>42</v>
      </c>
      <c r="E1422" t="s">
        <v>43</v>
      </c>
      <c r="F1422" t="s">
        <v>27</v>
      </c>
      <c r="G1422" t="s">
        <v>23</v>
      </c>
      <c r="H1422">
        <v>2</v>
      </c>
      <c r="I1422">
        <v>13000</v>
      </c>
    </row>
    <row r="1423" spans="1:9" x14ac:dyDescent="0.3">
      <c r="A1423" s="1">
        <v>46077</v>
      </c>
      <c r="B1423">
        <v>2026</v>
      </c>
      <c r="C1423">
        <v>2</v>
      </c>
      <c r="D1423" t="s">
        <v>48</v>
      </c>
      <c r="E1423" t="s">
        <v>43</v>
      </c>
      <c r="F1423" t="s">
        <v>27</v>
      </c>
      <c r="G1423" t="s">
        <v>23</v>
      </c>
      <c r="H1423">
        <v>1</v>
      </c>
      <c r="I1423">
        <v>6500</v>
      </c>
    </row>
    <row r="1424" spans="1:9" x14ac:dyDescent="0.3">
      <c r="A1424" s="1">
        <v>46256</v>
      </c>
      <c r="B1424">
        <v>2026</v>
      </c>
      <c r="C1424">
        <v>8</v>
      </c>
      <c r="D1424" t="s">
        <v>51</v>
      </c>
      <c r="E1424" t="s">
        <v>45</v>
      </c>
      <c r="F1424" t="s">
        <v>27</v>
      </c>
      <c r="G1424" t="s">
        <v>23</v>
      </c>
      <c r="H1424">
        <v>3</v>
      </c>
      <c r="I1424">
        <v>19500</v>
      </c>
    </row>
    <row r="1425" spans="1:9" x14ac:dyDescent="0.3">
      <c r="A1425" s="1">
        <v>46308</v>
      </c>
      <c r="B1425">
        <v>2026</v>
      </c>
      <c r="C1425">
        <v>10</v>
      </c>
      <c r="D1425" t="s">
        <v>49</v>
      </c>
      <c r="E1425" t="s">
        <v>47</v>
      </c>
      <c r="F1425" t="s">
        <v>27</v>
      </c>
      <c r="G1425" t="s">
        <v>23</v>
      </c>
      <c r="H1425">
        <v>1</v>
      </c>
      <c r="I1425">
        <v>6500</v>
      </c>
    </row>
    <row r="1426" spans="1:9" x14ac:dyDescent="0.3">
      <c r="A1426" s="1">
        <v>46042</v>
      </c>
      <c r="B1426">
        <v>2026</v>
      </c>
      <c r="C1426">
        <v>1</v>
      </c>
      <c r="D1426" t="s">
        <v>40</v>
      </c>
      <c r="E1426" t="s">
        <v>41</v>
      </c>
      <c r="F1426" t="s">
        <v>27</v>
      </c>
      <c r="G1426" t="s">
        <v>23</v>
      </c>
      <c r="H1426">
        <v>4</v>
      </c>
      <c r="I1426">
        <v>26000</v>
      </c>
    </row>
    <row r="1427" spans="1:9" x14ac:dyDescent="0.3">
      <c r="A1427" s="1">
        <v>46178</v>
      </c>
      <c r="B1427">
        <v>2026</v>
      </c>
      <c r="C1427">
        <v>6</v>
      </c>
      <c r="D1427" t="s">
        <v>48</v>
      </c>
      <c r="E1427" t="s">
        <v>43</v>
      </c>
      <c r="F1427" t="s">
        <v>27</v>
      </c>
      <c r="G1427" t="s">
        <v>23</v>
      </c>
      <c r="H1427">
        <v>5</v>
      </c>
      <c r="I1427">
        <v>32500</v>
      </c>
    </row>
    <row r="1428" spans="1:9" x14ac:dyDescent="0.3">
      <c r="A1428" s="1">
        <v>46227</v>
      </c>
      <c r="B1428">
        <v>2026</v>
      </c>
      <c r="C1428">
        <v>7</v>
      </c>
      <c r="D1428" t="s">
        <v>42</v>
      </c>
      <c r="E1428" t="s">
        <v>43</v>
      </c>
      <c r="F1428" t="s">
        <v>27</v>
      </c>
      <c r="G1428" t="s">
        <v>23</v>
      </c>
      <c r="H1428">
        <v>2</v>
      </c>
      <c r="I1428">
        <v>13000</v>
      </c>
    </row>
    <row r="1429" spans="1:9" x14ac:dyDescent="0.3">
      <c r="A1429" s="1">
        <v>46178</v>
      </c>
      <c r="B1429">
        <v>2026</v>
      </c>
      <c r="C1429">
        <v>6</v>
      </c>
      <c r="D1429" t="s">
        <v>51</v>
      </c>
      <c r="E1429" t="s">
        <v>45</v>
      </c>
      <c r="F1429" t="s">
        <v>27</v>
      </c>
      <c r="G1429" t="s">
        <v>23</v>
      </c>
      <c r="H1429">
        <v>3</v>
      </c>
      <c r="I1429">
        <v>19500</v>
      </c>
    </row>
    <row r="1430" spans="1:9" x14ac:dyDescent="0.3">
      <c r="A1430" s="1">
        <v>46312</v>
      </c>
      <c r="B1430">
        <v>2026</v>
      </c>
      <c r="C1430">
        <v>10</v>
      </c>
      <c r="D1430" t="s">
        <v>44</v>
      </c>
      <c r="E1430" t="s">
        <v>45</v>
      </c>
      <c r="F1430" t="s">
        <v>27</v>
      </c>
      <c r="G1430" t="s">
        <v>23</v>
      </c>
      <c r="H1430">
        <v>5</v>
      </c>
      <c r="I1430">
        <v>32500</v>
      </c>
    </row>
    <row r="1431" spans="1:9" x14ac:dyDescent="0.3">
      <c r="A1431" s="1">
        <v>46116</v>
      </c>
      <c r="B1431">
        <v>2026</v>
      </c>
      <c r="C1431">
        <v>4</v>
      </c>
      <c r="D1431" t="s">
        <v>49</v>
      </c>
      <c r="E1431" t="s">
        <v>47</v>
      </c>
      <c r="F1431" t="s">
        <v>27</v>
      </c>
      <c r="G1431" t="s">
        <v>23</v>
      </c>
      <c r="H1431">
        <v>2</v>
      </c>
      <c r="I1431">
        <v>13000</v>
      </c>
    </row>
    <row r="1432" spans="1:9" x14ac:dyDescent="0.3">
      <c r="A1432" s="1">
        <v>46039</v>
      </c>
      <c r="B1432">
        <v>2026</v>
      </c>
      <c r="C1432">
        <v>1</v>
      </c>
      <c r="D1432" t="s">
        <v>46</v>
      </c>
      <c r="E1432" t="s">
        <v>47</v>
      </c>
      <c r="F1432" t="s">
        <v>27</v>
      </c>
      <c r="G1432" t="s">
        <v>23</v>
      </c>
      <c r="H1432">
        <v>4</v>
      </c>
      <c r="I1432">
        <v>26000</v>
      </c>
    </row>
    <row r="1433" spans="1:9" x14ac:dyDescent="0.3">
      <c r="A1433" s="1">
        <v>46109</v>
      </c>
      <c r="B1433">
        <v>2026</v>
      </c>
      <c r="C1433">
        <v>3</v>
      </c>
      <c r="D1433" t="s">
        <v>51</v>
      </c>
      <c r="E1433" t="s">
        <v>45</v>
      </c>
      <c r="F1433" t="s">
        <v>27</v>
      </c>
      <c r="G1433" t="s">
        <v>23</v>
      </c>
      <c r="H1433">
        <v>3</v>
      </c>
      <c r="I1433">
        <v>19500</v>
      </c>
    </row>
    <row r="1434" spans="1:9" x14ac:dyDescent="0.3">
      <c r="A1434" s="1">
        <v>46103</v>
      </c>
      <c r="B1434">
        <v>2026</v>
      </c>
      <c r="C1434">
        <v>3</v>
      </c>
      <c r="D1434" t="s">
        <v>48</v>
      </c>
      <c r="E1434" t="s">
        <v>43</v>
      </c>
      <c r="F1434" t="s">
        <v>27</v>
      </c>
      <c r="G1434" t="s">
        <v>23</v>
      </c>
      <c r="H1434">
        <v>2</v>
      </c>
      <c r="I1434">
        <v>13000</v>
      </c>
    </row>
    <row r="1435" spans="1:9" x14ac:dyDescent="0.3">
      <c r="A1435" s="1">
        <v>46181</v>
      </c>
      <c r="B1435">
        <v>2026</v>
      </c>
      <c r="C1435">
        <v>6</v>
      </c>
      <c r="D1435" t="s">
        <v>44</v>
      </c>
      <c r="E1435" t="s">
        <v>45</v>
      </c>
      <c r="F1435" t="s">
        <v>27</v>
      </c>
      <c r="G1435" t="s">
        <v>23</v>
      </c>
      <c r="H1435">
        <v>2</v>
      </c>
      <c r="I1435">
        <v>13000</v>
      </c>
    </row>
    <row r="1436" spans="1:9" x14ac:dyDescent="0.3">
      <c r="A1436" s="1">
        <v>46198</v>
      </c>
      <c r="B1436">
        <v>2026</v>
      </c>
      <c r="C1436">
        <v>6</v>
      </c>
      <c r="D1436" t="s">
        <v>48</v>
      </c>
      <c r="E1436" t="s">
        <v>43</v>
      </c>
      <c r="F1436" t="s">
        <v>27</v>
      </c>
      <c r="G1436" t="s">
        <v>23</v>
      </c>
      <c r="H1436">
        <v>4</v>
      </c>
      <c r="I1436">
        <v>26000</v>
      </c>
    </row>
    <row r="1437" spans="1:9" x14ac:dyDescent="0.3">
      <c r="A1437" s="1">
        <v>46087</v>
      </c>
      <c r="B1437">
        <v>2026</v>
      </c>
      <c r="C1437">
        <v>3</v>
      </c>
      <c r="D1437" t="s">
        <v>51</v>
      </c>
      <c r="E1437" t="s">
        <v>45</v>
      </c>
      <c r="F1437" t="s">
        <v>27</v>
      </c>
      <c r="G1437" t="s">
        <v>23</v>
      </c>
      <c r="H1437">
        <v>1</v>
      </c>
      <c r="I1437">
        <v>6500</v>
      </c>
    </row>
    <row r="1438" spans="1:9" x14ac:dyDescent="0.3">
      <c r="A1438" s="1">
        <v>46237</v>
      </c>
      <c r="B1438">
        <v>2026</v>
      </c>
      <c r="C1438">
        <v>8</v>
      </c>
      <c r="D1438" t="s">
        <v>40</v>
      </c>
      <c r="E1438" t="s">
        <v>41</v>
      </c>
      <c r="F1438" t="s">
        <v>27</v>
      </c>
      <c r="G1438" t="s">
        <v>23</v>
      </c>
      <c r="H1438">
        <v>1</v>
      </c>
      <c r="I1438">
        <v>6500</v>
      </c>
    </row>
    <row r="1439" spans="1:9" x14ac:dyDescent="0.3">
      <c r="A1439" s="1">
        <v>46205</v>
      </c>
      <c r="B1439">
        <v>2026</v>
      </c>
      <c r="C1439">
        <v>7</v>
      </c>
      <c r="D1439" t="s">
        <v>46</v>
      </c>
      <c r="E1439" t="s">
        <v>47</v>
      </c>
      <c r="F1439" t="s">
        <v>27</v>
      </c>
      <c r="G1439" t="s">
        <v>23</v>
      </c>
      <c r="H1439">
        <v>2</v>
      </c>
      <c r="I1439">
        <v>13000</v>
      </c>
    </row>
    <row r="1440" spans="1:9" x14ac:dyDescent="0.3">
      <c r="A1440" s="1">
        <v>46043</v>
      </c>
      <c r="B1440">
        <v>2026</v>
      </c>
      <c r="C1440">
        <v>1</v>
      </c>
      <c r="D1440" t="s">
        <v>50</v>
      </c>
      <c r="E1440" t="s">
        <v>41</v>
      </c>
      <c r="F1440" t="s">
        <v>27</v>
      </c>
      <c r="G1440" t="s">
        <v>23</v>
      </c>
      <c r="H1440">
        <v>2</v>
      </c>
      <c r="I1440">
        <v>13000</v>
      </c>
    </row>
    <row r="1441" spans="1:9" x14ac:dyDescent="0.3">
      <c r="A1441" s="1">
        <v>46313</v>
      </c>
      <c r="B1441">
        <v>2026</v>
      </c>
      <c r="C1441">
        <v>10</v>
      </c>
      <c r="D1441" t="s">
        <v>42</v>
      </c>
      <c r="E1441" t="s">
        <v>43</v>
      </c>
      <c r="F1441" t="s">
        <v>27</v>
      </c>
      <c r="G1441" t="s">
        <v>23</v>
      </c>
      <c r="H1441">
        <v>3</v>
      </c>
      <c r="I1441">
        <v>19500</v>
      </c>
    </row>
    <row r="1442" spans="1:9" x14ac:dyDescent="0.3">
      <c r="A1442" s="1">
        <v>46318</v>
      </c>
      <c r="B1442">
        <v>2026</v>
      </c>
      <c r="C1442">
        <v>10</v>
      </c>
      <c r="D1442" t="s">
        <v>42</v>
      </c>
      <c r="E1442" t="s">
        <v>43</v>
      </c>
      <c r="F1442" t="s">
        <v>27</v>
      </c>
      <c r="G1442" t="s">
        <v>23</v>
      </c>
      <c r="H1442">
        <v>5</v>
      </c>
      <c r="I1442">
        <v>32500</v>
      </c>
    </row>
    <row r="1443" spans="1:9" x14ac:dyDescent="0.3">
      <c r="A1443" s="1">
        <v>46226</v>
      </c>
      <c r="B1443">
        <v>2026</v>
      </c>
      <c r="C1443">
        <v>7</v>
      </c>
      <c r="D1443" t="s">
        <v>50</v>
      </c>
      <c r="E1443" t="s">
        <v>41</v>
      </c>
      <c r="F1443" t="s">
        <v>27</v>
      </c>
      <c r="G1443" t="s">
        <v>23</v>
      </c>
      <c r="H1443">
        <v>5</v>
      </c>
      <c r="I1443">
        <v>32500</v>
      </c>
    </row>
    <row r="1444" spans="1:9" x14ac:dyDescent="0.3">
      <c r="A1444" s="1">
        <v>46269</v>
      </c>
      <c r="B1444">
        <v>2026</v>
      </c>
      <c r="C1444">
        <v>9</v>
      </c>
      <c r="D1444" t="s">
        <v>51</v>
      </c>
      <c r="E1444" t="s">
        <v>45</v>
      </c>
      <c r="F1444" t="s">
        <v>27</v>
      </c>
      <c r="G1444" t="s">
        <v>23</v>
      </c>
      <c r="H1444">
        <v>2</v>
      </c>
      <c r="I1444">
        <v>13000</v>
      </c>
    </row>
    <row r="1445" spans="1:9" x14ac:dyDescent="0.3">
      <c r="A1445" s="1">
        <v>46197</v>
      </c>
      <c r="B1445">
        <v>2026</v>
      </c>
      <c r="C1445">
        <v>6</v>
      </c>
      <c r="D1445" t="s">
        <v>49</v>
      </c>
      <c r="E1445" t="s">
        <v>47</v>
      </c>
      <c r="F1445" t="s">
        <v>27</v>
      </c>
      <c r="G1445" t="s">
        <v>23</v>
      </c>
      <c r="H1445">
        <v>5</v>
      </c>
      <c r="I1445">
        <v>32500</v>
      </c>
    </row>
    <row r="1446" spans="1:9" x14ac:dyDescent="0.3">
      <c r="A1446" s="1">
        <v>46118</v>
      </c>
      <c r="B1446">
        <v>2026</v>
      </c>
      <c r="C1446">
        <v>4</v>
      </c>
      <c r="D1446" t="s">
        <v>49</v>
      </c>
      <c r="E1446" t="s">
        <v>47</v>
      </c>
      <c r="F1446" t="s">
        <v>27</v>
      </c>
      <c r="G1446" t="s">
        <v>23</v>
      </c>
      <c r="H1446">
        <v>5</v>
      </c>
      <c r="I1446">
        <v>32500</v>
      </c>
    </row>
    <row r="1447" spans="1:9" x14ac:dyDescent="0.3">
      <c r="A1447" s="1">
        <v>46061</v>
      </c>
      <c r="B1447">
        <v>2026</v>
      </c>
      <c r="C1447">
        <v>2</v>
      </c>
      <c r="D1447" t="s">
        <v>49</v>
      </c>
      <c r="E1447" t="s">
        <v>47</v>
      </c>
      <c r="F1447" t="s">
        <v>27</v>
      </c>
      <c r="G1447" t="s">
        <v>23</v>
      </c>
      <c r="H1447">
        <v>3</v>
      </c>
      <c r="I1447">
        <v>19500</v>
      </c>
    </row>
    <row r="1448" spans="1:9" x14ac:dyDescent="0.3">
      <c r="A1448" s="1">
        <v>46188</v>
      </c>
      <c r="B1448">
        <v>2026</v>
      </c>
      <c r="C1448">
        <v>6</v>
      </c>
      <c r="D1448" t="s">
        <v>50</v>
      </c>
      <c r="E1448" t="s">
        <v>41</v>
      </c>
      <c r="F1448" t="s">
        <v>27</v>
      </c>
      <c r="G1448" t="s">
        <v>23</v>
      </c>
      <c r="H1448">
        <v>2</v>
      </c>
      <c r="I1448">
        <v>13000</v>
      </c>
    </row>
    <row r="1449" spans="1:9" x14ac:dyDescent="0.3">
      <c r="A1449" s="1">
        <v>46194</v>
      </c>
      <c r="B1449">
        <v>2026</v>
      </c>
      <c r="C1449">
        <v>6</v>
      </c>
      <c r="D1449" t="s">
        <v>48</v>
      </c>
      <c r="E1449" t="s">
        <v>43</v>
      </c>
      <c r="F1449" t="s">
        <v>27</v>
      </c>
      <c r="G1449" t="s">
        <v>23</v>
      </c>
      <c r="H1449">
        <v>3</v>
      </c>
      <c r="I1449">
        <v>19500</v>
      </c>
    </row>
    <row r="1450" spans="1:9" x14ac:dyDescent="0.3">
      <c r="A1450" s="1">
        <v>46136</v>
      </c>
      <c r="B1450">
        <v>2026</v>
      </c>
      <c r="C1450">
        <v>4</v>
      </c>
      <c r="D1450" t="s">
        <v>49</v>
      </c>
      <c r="E1450" t="s">
        <v>47</v>
      </c>
      <c r="F1450" t="s">
        <v>27</v>
      </c>
      <c r="G1450" t="s">
        <v>23</v>
      </c>
      <c r="H1450">
        <v>3</v>
      </c>
      <c r="I1450">
        <v>19500</v>
      </c>
    </row>
    <row r="1451" spans="1:9" x14ac:dyDescent="0.3">
      <c r="A1451" s="1">
        <v>46231</v>
      </c>
      <c r="B1451">
        <v>2026</v>
      </c>
      <c r="C1451">
        <v>7</v>
      </c>
      <c r="D1451" t="s">
        <v>40</v>
      </c>
      <c r="E1451" t="s">
        <v>41</v>
      </c>
      <c r="F1451" t="s">
        <v>27</v>
      </c>
      <c r="G1451" t="s">
        <v>23</v>
      </c>
      <c r="H1451">
        <v>3</v>
      </c>
      <c r="I1451">
        <v>19500</v>
      </c>
    </row>
    <row r="1452" spans="1:9" x14ac:dyDescent="0.3">
      <c r="A1452" s="1">
        <v>46230</v>
      </c>
      <c r="B1452">
        <v>2026</v>
      </c>
      <c r="C1452">
        <v>7</v>
      </c>
      <c r="D1452" t="s">
        <v>48</v>
      </c>
      <c r="E1452" t="s">
        <v>43</v>
      </c>
      <c r="F1452" t="s">
        <v>27</v>
      </c>
      <c r="G1452" t="s">
        <v>23</v>
      </c>
      <c r="H1452">
        <v>3</v>
      </c>
      <c r="I1452">
        <v>19500</v>
      </c>
    </row>
    <row r="1453" spans="1:9" x14ac:dyDescent="0.3">
      <c r="A1453" s="1">
        <v>46222</v>
      </c>
      <c r="B1453">
        <v>2026</v>
      </c>
      <c r="C1453">
        <v>7</v>
      </c>
      <c r="D1453" t="s">
        <v>48</v>
      </c>
      <c r="E1453" t="s">
        <v>43</v>
      </c>
      <c r="F1453" t="s">
        <v>27</v>
      </c>
      <c r="G1453" t="s">
        <v>23</v>
      </c>
      <c r="H1453">
        <v>2</v>
      </c>
      <c r="I1453">
        <v>13000</v>
      </c>
    </row>
    <row r="1454" spans="1:9" x14ac:dyDescent="0.3">
      <c r="A1454" s="1">
        <v>46293</v>
      </c>
      <c r="B1454">
        <v>2026</v>
      </c>
      <c r="C1454">
        <v>9</v>
      </c>
      <c r="D1454" t="s">
        <v>50</v>
      </c>
      <c r="E1454" t="s">
        <v>41</v>
      </c>
      <c r="F1454" t="s">
        <v>27</v>
      </c>
      <c r="G1454" t="s">
        <v>23</v>
      </c>
      <c r="H1454">
        <v>5</v>
      </c>
      <c r="I1454">
        <v>32500</v>
      </c>
    </row>
    <row r="1455" spans="1:9" x14ac:dyDescent="0.3">
      <c r="A1455" s="1">
        <v>46272</v>
      </c>
      <c r="B1455">
        <v>2026</v>
      </c>
      <c r="C1455">
        <v>9</v>
      </c>
      <c r="D1455" t="s">
        <v>46</v>
      </c>
      <c r="E1455" t="s">
        <v>47</v>
      </c>
      <c r="F1455" t="s">
        <v>27</v>
      </c>
      <c r="G1455" t="s">
        <v>23</v>
      </c>
      <c r="H1455">
        <v>3</v>
      </c>
      <c r="I1455">
        <v>19500</v>
      </c>
    </row>
    <row r="1456" spans="1:9" x14ac:dyDescent="0.3">
      <c r="A1456" s="1">
        <v>46230</v>
      </c>
      <c r="B1456">
        <v>2026</v>
      </c>
      <c r="C1456">
        <v>7</v>
      </c>
      <c r="D1456" t="s">
        <v>49</v>
      </c>
      <c r="E1456" t="s">
        <v>47</v>
      </c>
      <c r="F1456" t="s">
        <v>27</v>
      </c>
      <c r="G1456" t="s">
        <v>23</v>
      </c>
      <c r="H1456">
        <v>1</v>
      </c>
      <c r="I1456">
        <v>6500</v>
      </c>
    </row>
    <row r="1457" spans="1:9" x14ac:dyDescent="0.3">
      <c r="A1457" s="1">
        <v>46239</v>
      </c>
      <c r="B1457">
        <v>2026</v>
      </c>
      <c r="C1457">
        <v>8</v>
      </c>
      <c r="D1457" t="s">
        <v>50</v>
      </c>
      <c r="E1457" t="s">
        <v>41</v>
      </c>
      <c r="F1457" t="s">
        <v>27</v>
      </c>
      <c r="G1457" t="s">
        <v>23</v>
      </c>
      <c r="H1457">
        <v>4</v>
      </c>
      <c r="I1457">
        <v>26000</v>
      </c>
    </row>
    <row r="1458" spans="1:9" x14ac:dyDescent="0.3">
      <c r="A1458" s="1">
        <v>46279</v>
      </c>
      <c r="B1458">
        <v>2026</v>
      </c>
      <c r="C1458">
        <v>9</v>
      </c>
      <c r="D1458" t="s">
        <v>48</v>
      </c>
      <c r="E1458" t="s">
        <v>43</v>
      </c>
      <c r="F1458" t="s">
        <v>27</v>
      </c>
      <c r="G1458" t="s">
        <v>23</v>
      </c>
      <c r="H1458">
        <v>1</v>
      </c>
      <c r="I1458">
        <v>6500</v>
      </c>
    </row>
    <row r="1459" spans="1:9" x14ac:dyDescent="0.3">
      <c r="A1459" s="1">
        <v>46055</v>
      </c>
      <c r="B1459">
        <v>2026</v>
      </c>
      <c r="C1459">
        <v>2</v>
      </c>
      <c r="D1459" t="s">
        <v>48</v>
      </c>
      <c r="E1459" t="s">
        <v>43</v>
      </c>
      <c r="F1459" t="s">
        <v>27</v>
      </c>
      <c r="G1459" t="s">
        <v>23</v>
      </c>
      <c r="H1459">
        <v>1</v>
      </c>
      <c r="I1459">
        <v>6500</v>
      </c>
    </row>
    <row r="1460" spans="1:9" x14ac:dyDescent="0.3">
      <c r="A1460" s="1">
        <v>46172</v>
      </c>
      <c r="B1460">
        <v>2026</v>
      </c>
      <c r="C1460">
        <v>5</v>
      </c>
      <c r="D1460" t="s">
        <v>42</v>
      </c>
      <c r="E1460" t="s">
        <v>43</v>
      </c>
      <c r="F1460" t="s">
        <v>27</v>
      </c>
      <c r="G1460" t="s">
        <v>23</v>
      </c>
      <c r="H1460">
        <v>4</v>
      </c>
      <c r="I1460">
        <v>26000</v>
      </c>
    </row>
    <row r="1461" spans="1:9" x14ac:dyDescent="0.3">
      <c r="A1461" s="1">
        <v>46104</v>
      </c>
      <c r="B1461">
        <v>2026</v>
      </c>
      <c r="C1461">
        <v>3</v>
      </c>
      <c r="D1461" t="s">
        <v>51</v>
      </c>
      <c r="E1461" t="s">
        <v>45</v>
      </c>
      <c r="F1461" t="s">
        <v>27</v>
      </c>
      <c r="G1461" t="s">
        <v>23</v>
      </c>
      <c r="H1461">
        <v>1</v>
      </c>
      <c r="I1461">
        <v>6500</v>
      </c>
    </row>
    <row r="1462" spans="1:9" x14ac:dyDescent="0.3">
      <c r="A1462" s="1">
        <v>46189</v>
      </c>
      <c r="B1462">
        <v>2026</v>
      </c>
      <c r="C1462">
        <v>6</v>
      </c>
      <c r="D1462" t="s">
        <v>50</v>
      </c>
      <c r="E1462" t="s">
        <v>41</v>
      </c>
      <c r="F1462" t="s">
        <v>27</v>
      </c>
      <c r="G1462" t="s">
        <v>23</v>
      </c>
      <c r="H1462">
        <v>1</v>
      </c>
      <c r="I1462">
        <v>6500</v>
      </c>
    </row>
    <row r="1463" spans="1:9" x14ac:dyDescent="0.3">
      <c r="A1463" s="1">
        <v>46191</v>
      </c>
      <c r="B1463">
        <v>2026</v>
      </c>
      <c r="C1463">
        <v>6</v>
      </c>
      <c r="D1463" t="s">
        <v>50</v>
      </c>
      <c r="E1463" t="s">
        <v>41</v>
      </c>
      <c r="F1463" t="s">
        <v>27</v>
      </c>
      <c r="G1463" t="s">
        <v>23</v>
      </c>
      <c r="H1463">
        <v>5</v>
      </c>
      <c r="I1463">
        <v>32500</v>
      </c>
    </row>
    <row r="1464" spans="1:9" x14ac:dyDescent="0.3">
      <c r="A1464" s="1">
        <v>46120</v>
      </c>
      <c r="B1464">
        <v>2026</v>
      </c>
      <c r="C1464">
        <v>4</v>
      </c>
      <c r="D1464" t="s">
        <v>49</v>
      </c>
      <c r="E1464" t="s">
        <v>47</v>
      </c>
      <c r="F1464" t="s">
        <v>27</v>
      </c>
      <c r="G1464" t="s">
        <v>23</v>
      </c>
      <c r="H1464">
        <v>2</v>
      </c>
      <c r="I1464">
        <v>13000</v>
      </c>
    </row>
    <row r="1465" spans="1:9" x14ac:dyDescent="0.3">
      <c r="A1465" s="1">
        <v>46030</v>
      </c>
      <c r="B1465">
        <v>2026</v>
      </c>
      <c r="C1465">
        <v>1</v>
      </c>
      <c r="D1465" t="s">
        <v>40</v>
      </c>
      <c r="E1465" t="s">
        <v>41</v>
      </c>
      <c r="F1465" t="s">
        <v>27</v>
      </c>
      <c r="G1465" t="s">
        <v>23</v>
      </c>
      <c r="H1465">
        <v>2</v>
      </c>
      <c r="I1465">
        <v>13000</v>
      </c>
    </row>
    <row r="1466" spans="1:9" x14ac:dyDescent="0.3">
      <c r="A1466" s="1">
        <v>46249</v>
      </c>
      <c r="B1466">
        <v>2026</v>
      </c>
      <c r="C1466">
        <v>8</v>
      </c>
      <c r="D1466" t="s">
        <v>46</v>
      </c>
      <c r="E1466" t="s">
        <v>47</v>
      </c>
      <c r="F1466" t="s">
        <v>27</v>
      </c>
      <c r="G1466" t="s">
        <v>23</v>
      </c>
      <c r="H1466">
        <v>1</v>
      </c>
      <c r="I1466">
        <v>6500</v>
      </c>
    </row>
    <row r="1467" spans="1:9" x14ac:dyDescent="0.3">
      <c r="A1467" s="1">
        <v>46148</v>
      </c>
      <c r="B1467">
        <v>2026</v>
      </c>
      <c r="C1467">
        <v>5</v>
      </c>
      <c r="D1467" t="s">
        <v>44</v>
      </c>
      <c r="E1467" t="s">
        <v>45</v>
      </c>
      <c r="F1467" t="s">
        <v>27</v>
      </c>
      <c r="G1467" t="s">
        <v>23</v>
      </c>
      <c r="H1467">
        <v>2</v>
      </c>
      <c r="I1467">
        <v>13000</v>
      </c>
    </row>
    <row r="1468" spans="1:9" x14ac:dyDescent="0.3">
      <c r="A1468" s="1">
        <v>46034</v>
      </c>
      <c r="B1468">
        <v>2026</v>
      </c>
      <c r="C1468">
        <v>1</v>
      </c>
      <c r="D1468" t="s">
        <v>49</v>
      </c>
      <c r="E1468" t="s">
        <v>47</v>
      </c>
      <c r="F1468" t="s">
        <v>27</v>
      </c>
      <c r="G1468" t="s">
        <v>23</v>
      </c>
      <c r="H1468">
        <v>2</v>
      </c>
      <c r="I1468">
        <v>13000</v>
      </c>
    </row>
    <row r="1469" spans="1:9" x14ac:dyDescent="0.3">
      <c r="A1469" s="1">
        <v>46222</v>
      </c>
      <c r="B1469">
        <v>2026</v>
      </c>
      <c r="C1469">
        <v>7</v>
      </c>
      <c r="D1469" t="s">
        <v>42</v>
      </c>
      <c r="E1469" t="s">
        <v>43</v>
      </c>
      <c r="F1469" t="s">
        <v>27</v>
      </c>
      <c r="G1469" t="s">
        <v>23</v>
      </c>
      <c r="H1469">
        <v>5</v>
      </c>
      <c r="I1469">
        <v>32500</v>
      </c>
    </row>
    <row r="1470" spans="1:9" x14ac:dyDescent="0.3">
      <c r="A1470" s="1">
        <v>46281</v>
      </c>
      <c r="B1470">
        <v>2026</v>
      </c>
      <c r="C1470">
        <v>9</v>
      </c>
      <c r="D1470" t="s">
        <v>50</v>
      </c>
      <c r="E1470" t="s">
        <v>41</v>
      </c>
      <c r="F1470" t="s">
        <v>27</v>
      </c>
      <c r="G1470" t="s">
        <v>23</v>
      </c>
      <c r="H1470">
        <v>4</v>
      </c>
      <c r="I1470">
        <v>26000</v>
      </c>
    </row>
    <row r="1471" spans="1:9" x14ac:dyDescent="0.3">
      <c r="A1471" s="1">
        <v>46079</v>
      </c>
      <c r="B1471">
        <v>2026</v>
      </c>
      <c r="C1471">
        <v>2</v>
      </c>
      <c r="D1471" t="s">
        <v>42</v>
      </c>
      <c r="E1471" t="s">
        <v>43</v>
      </c>
      <c r="F1471" t="s">
        <v>27</v>
      </c>
      <c r="G1471" t="s">
        <v>23</v>
      </c>
      <c r="H1471">
        <v>4</v>
      </c>
      <c r="I1471">
        <v>26000</v>
      </c>
    </row>
    <row r="1472" spans="1:9" x14ac:dyDescent="0.3">
      <c r="A1472" s="1">
        <v>46200</v>
      </c>
      <c r="B1472">
        <v>2026</v>
      </c>
      <c r="C1472">
        <v>6</v>
      </c>
      <c r="D1472" t="s">
        <v>50</v>
      </c>
      <c r="E1472" t="s">
        <v>41</v>
      </c>
      <c r="F1472" t="s">
        <v>27</v>
      </c>
      <c r="G1472" t="s">
        <v>23</v>
      </c>
      <c r="H1472">
        <v>1</v>
      </c>
      <c r="I1472">
        <v>6500</v>
      </c>
    </row>
    <row r="1473" spans="1:9" x14ac:dyDescent="0.3">
      <c r="A1473" s="1">
        <v>46187</v>
      </c>
      <c r="B1473">
        <v>2026</v>
      </c>
      <c r="C1473">
        <v>6</v>
      </c>
      <c r="D1473" t="s">
        <v>40</v>
      </c>
      <c r="E1473" t="s">
        <v>41</v>
      </c>
      <c r="F1473" t="s">
        <v>27</v>
      </c>
      <c r="G1473" t="s">
        <v>23</v>
      </c>
      <c r="H1473">
        <v>5</v>
      </c>
      <c r="I1473">
        <v>32500</v>
      </c>
    </row>
    <row r="1474" spans="1:9" x14ac:dyDescent="0.3">
      <c r="A1474" s="1">
        <v>46246</v>
      </c>
      <c r="B1474">
        <v>2026</v>
      </c>
      <c r="C1474">
        <v>8</v>
      </c>
      <c r="D1474" t="s">
        <v>51</v>
      </c>
      <c r="E1474" t="s">
        <v>45</v>
      </c>
      <c r="F1474" t="s">
        <v>27</v>
      </c>
      <c r="G1474" t="s">
        <v>23</v>
      </c>
      <c r="H1474">
        <v>1</v>
      </c>
      <c r="I1474">
        <v>6500</v>
      </c>
    </row>
    <row r="1475" spans="1:9" x14ac:dyDescent="0.3">
      <c r="A1475" s="1">
        <v>46066</v>
      </c>
      <c r="B1475">
        <v>2026</v>
      </c>
      <c r="C1475">
        <v>2</v>
      </c>
      <c r="D1475" t="s">
        <v>44</v>
      </c>
      <c r="E1475" t="s">
        <v>45</v>
      </c>
      <c r="F1475" t="s">
        <v>27</v>
      </c>
      <c r="G1475" t="s">
        <v>23</v>
      </c>
      <c r="H1475">
        <v>3</v>
      </c>
      <c r="I1475">
        <v>19500</v>
      </c>
    </row>
    <row r="1476" spans="1:9" x14ac:dyDescent="0.3">
      <c r="A1476" s="1">
        <v>46205</v>
      </c>
      <c r="B1476">
        <v>2026</v>
      </c>
      <c r="C1476">
        <v>7</v>
      </c>
      <c r="D1476" t="s">
        <v>40</v>
      </c>
      <c r="E1476" t="s">
        <v>41</v>
      </c>
      <c r="F1476" t="s">
        <v>27</v>
      </c>
      <c r="G1476" t="s">
        <v>23</v>
      </c>
      <c r="H1476">
        <v>3</v>
      </c>
      <c r="I1476">
        <v>19500</v>
      </c>
    </row>
    <row r="1477" spans="1:9" x14ac:dyDescent="0.3">
      <c r="A1477" s="1">
        <v>46086</v>
      </c>
      <c r="B1477">
        <v>2026</v>
      </c>
      <c r="C1477">
        <v>3</v>
      </c>
      <c r="D1477" t="s">
        <v>50</v>
      </c>
      <c r="E1477" t="s">
        <v>41</v>
      </c>
      <c r="F1477" t="s">
        <v>27</v>
      </c>
      <c r="G1477" t="s">
        <v>23</v>
      </c>
      <c r="H1477">
        <v>2</v>
      </c>
      <c r="I1477">
        <v>13000</v>
      </c>
    </row>
    <row r="1478" spans="1:9" x14ac:dyDescent="0.3">
      <c r="A1478" s="1">
        <v>46232</v>
      </c>
      <c r="B1478">
        <v>2026</v>
      </c>
      <c r="C1478">
        <v>7</v>
      </c>
      <c r="D1478" t="s">
        <v>44</v>
      </c>
      <c r="E1478" t="s">
        <v>45</v>
      </c>
      <c r="F1478" t="s">
        <v>27</v>
      </c>
      <c r="G1478" t="s">
        <v>23</v>
      </c>
      <c r="H1478">
        <v>1</v>
      </c>
      <c r="I1478">
        <v>6500</v>
      </c>
    </row>
    <row r="1479" spans="1:9" x14ac:dyDescent="0.3">
      <c r="A1479" s="1">
        <v>46274</v>
      </c>
      <c r="B1479">
        <v>2026</v>
      </c>
      <c r="C1479">
        <v>9</v>
      </c>
      <c r="D1479" t="s">
        <v>49</v>
      </c>
      <c r="E1479" t="s">
        <v>47</v>
      </c>
      <c r="F1479" t="s">
        <v>27</v>
      </c>
      <c r="G1479" t="s">
        <v>23</v>
      </c>
      <c r="H1479">
        <v>5</v>
      </c>
      <c r="I1479">
        <v>32500</v>
      </c>
    </row>
    <row r="1480" spans="1:9" x14ac:dyDescent="0.3">
      <c r="A1480" s="1">
        <v>46091</v>
      </c>
      <c r="B1480">
        <v>2026</v>
      </c>
      <c r="C1480">
        <v>3</v>
      </c>
      <c r="D1480" t="s">
        <v>50</v>
      </c>
      <c r="E1480" t="s">
        <v>41</v>
      </c>
      <c r="F1480" t="s">
        <v>27</v>
      </c>
      <c r="G1480" t="s">
        <v>23</v>
      </c>
      <c r="H1480">
        <v>4</v>
      </c>
      <c r="I1480">
        <v>26000</v>
      </c>
    </row>
    <row r="1481" spans="1:9" x14ac:dyDescent="0.3">
      <c r="A1481" s="1">
        <v>46232</v>
      </c>
      <c r="B1481">
        <v>2026</v>
      </c>
      <c r="C1481">
        <v>7</v>
      </c>
      <c r="D1481" t="s">
        <v>44</v>
      </c>
      <c r="E1481" t="s">
        <v>45</v>
      </c>
      <c r="F1481" t="s">
        <v>27</v>
      </c>
      <c r="G1481" t="s">
        <v>23</v>
      </c>
      <c r="H1481">
        <v>1</v>
      </c>
      <c r="I1481">
        <v>6500</v>
      </c>
    </row>
    <row r="1482" spans="1:9" x14ac:dyDescent="0.3">
      <c r="A1482" s="1">
        <v>46104</v>
      </c>
      <c r="B1482">
        <v>2026</v>
      </c>
      <c r="C1482">
        <v>3</v>
      </c>
      <c r="D1482" t="s">
        <v>48</v>
      </c>
      <c r="E1482" t="s">
        <v>43</v>
      </c>
      <c r="F1482" t="s">
        <v>27</v>
      </c>
      <c r="G1482" t="s">
        <v>23</v>
      </c>
      <c r="H1482">
        <v>1</v>
      </c>
      <c r="I1482">
        <v>6500</v>
      </c>
    </row>
    <row r="1483" spans="1:9" x14ac:dyDescent="0.3">
      <c r="A1483" s="1">
        <v>46123</v>
      </c>
      <c r="B1483">
        <v>2026</v>
      </c>
      <c r="C1483">
        <v>4</v>
      </c>
      <c r="D1483" t="s">
        <v>42</v>
      </c>
      <c r="E1483" t="s">
        <v>43</v>
      </c>
      <c r="F1483" t="s">
        <v>27</v>
      </c>
      <c r="G1483" t="s">
        <v>23</v>
      </c>
      <c r="H1483">
        <v>4</v>
      </c>
      <c r="I1483">
        <v>26000</v>
      </c>
    </row>
    <row r="1484" spans="1:9" x14ac:dyDescent="0.3">
      <c r="A1484" s="1">
        <v>46161</v>
      </c>
      <c r="B1484">
        <v>2026</v>
      </c>
      <c r="C1484">
        <v>5</v>
      </c>
      <c r="D1484" t="s">
        <v>48</v>
      </c>
      <c r="E1484" t="s">
        <v>43</v>
      </c>
      <c r="F1484" t="s">
        <v>27</v>
      </c>
      <c r="G1484" t="s">
        <v>23</v>
      </c>
      <c r="H1484">
        <v>4</v>
      </c>
      <c r="I1484">
        <v>26000</v>
      </c>
    </row>
    <row r="1485" spans="1:9" x14ac:dyDescent="0.3">
      <c r="A1485" s="1">
        <v>46057</v>
      </c>
      <c r="B1485">
        <v>2026</v>
      </c>
      <c r="C1485">
        <v>2</v>
      </c>
      <c r="D1485" t="s">
        <v>48</v>
      </c>
      <c r="E1485" t="s">
        <v>43</v>
      </c>
      <c r="F1485" t="s">
        <v>27</v>
      </c>
      <c r="G1485" t="s">
        <v>23</v>
      </c>
      <c r="H1485">
        <v>2</v>
      </c>
      <c r="I1485">
        <v>13000</v>
      </c>
    </row>
    <row r="1486" spans="1:9" x14ac:dyDescent="0.3">
      <c r="A1486" s="1">
        <v>46311</v>
      </c>
      <c r="B1486">
        <v>2026</v>
      </c>
      <c r="C1486">
        <v>10</v>
      </c>
      <c r="D1486" t="s">
        <v>49</v>
      </c>
      <c r="E1486" t="s">
        <v>47</v>
      </c>
      <c r="F1486" t="s">
        <v>27</v>
      </c>
      <c r="G1486" t="s">
        <v>23</v>
      </c>
      <c r="H1486">
        <v>1</v>
      </c>
      <c r="I1486">
        <v>6500</v>
      </c>
    </row>
    <row r="1487" spans="1:9" x14ac:dyDescent="0.3">
      <c r="A1487" s="1">
        <v>46239</v>
      </c>
      <c r="B1487">
        <v>2026</v>
      </c>
      <c r="C1487">
        <v>8</v>
      </c>
      <c r="D1487" t="s">
        <v>50</v>
      </c>
      <c r="E1487" t="s">
        <v>41</v>
      </c>
      <c r="F1487" t="s">
        <v>27</v>
      </c>
      <c r="G1487" t="s">
        <v>23</v>
      </c>
      <c r="H1487">
        <v>4</v>
      </c>
      <c r="I1487">
        <v>26000</v>
      </c>
    </row>
    <row r="1488" spans="1:9" x14ac:dyDescent="0.3">
      <c r="A1488" s="1">
        <v>46086</v>
      </c>
      <c r="B1488">
        <v>2026</v>
      </c>
      <c r="C1488">
        <v>3</v>
      </c>
      <c r="D1488" t="s">
        <v>46</v>
      </c>
      <c r="E1488" t="s">
        <v>47</v>
      </c>
      <c r="F1488" t="s">
        <v>27</v>
      </c>
      <c r="G1488" t="s">
        <v>23</v>
      </c>
      <c r="H1488">
        <v>2</v>
      </c>
      <c r="I1488">
        <v>13000</v>
      </c>
    </row>
    <row r="1489" spans="1:9" x14ac:dyDescent="0.3">
      <c r="A1489" s="1">
        <v>46064</v>
      </c>
      <c r="B1489">
        <v>2026</v>
      </c>
      <c r="C1489">
        <v>2</v>
      </c>
      <c r="D1489" t="s">
        <v>49</v>
      </c>
      <c r="E1489" t="s">
        <v>47</v>
      </c>
      <c r="F1489" t="s">
        <v>27</v>
      </c>
      <c r="G1489" t="s">
        <v>23</v>
      </c>
      <c r="H1489">
        <v>5</v>
      </c>
      <c r="I1489">
        <v>32500</v>
      </c>
    </row>
    <row r="1490" spans="1:9" x14ac:dyDescent="0.3">
      <c r="A1490" s="1">
        <v>46061</v>
      </c>
      <c r="B1490">
        <v>2026</v>
      </c>
      <c r="C1490">
        <v>2</v>
      </c>
      <c r="D1490" t="s">
        <v>50</v>
      </c>
      <c r="E1490" t="s">
        <v>41</v>
      </c>
      <c r="F1490" t="s">
        <v>27</v>
      </c>
      <c r="G1490" t="s">
        <v>23</v>
      </c>
      <c r="H1490">
        <v>4</v>
      </c>
      <c r="I1490">
        <v>26000</v>
      </c>
    </row>
    <row r="1491" spans="1:9" x14ac:dyDescent="0.3">
      <c r="A1491" s="1">
        <v>46303</v>
      </c>
      <c r="B1491">
        <v>2026</v>
      </c>
      <c r="C1491">
        <v>10</v>
      </c>
      <c r="D1491" t="s">
        <v>50</v>
      </c>
      <c r="E1491" t="s">
        <v>41</v>
      </c>
      <c r="F1491" t="s">
        <v>27</v>
      </c>
      <c r="G1491" t="s">
        <v>23</v>
      </c>
      <c r="H1491">
        <v>2</v>
      </c>
      <c r="I1491">
        <v>13000</v>
      </c>
    </row>
    <row r="1492" spans="1:9" x14ac:dyDescent="0.3">
      <c r="A1492" s="1">
        <v>46164</v>
      </c>
      <c r="B1492">
        <v>2026</v>
      </c>
      <c r="C1492">
        <v>5</v>
      </c>
      <c r="D1492" t="s">
        <v>40</v>
      </c>
      <c r="E1492" t="s">
        <v>41</v>
      </c>
      <c r="F1492" t="s">
        <v>27</v>
      </c>
      <c r="G1492" t="s">
        <v>23</v>
      </c>
      <c r="H1492">
        <v>4</v>
      </c>
      <c r="I1492">
        <v>26000</v>
      </c>
    </row>
    <row r="1493" spans="1:9" x14ac:dyDescent="0.3">
      <c r="A1493" s="1">
        <v>46086</v>
      </c>
      <c r="B1493">
        <v>2026</v>
      </c>
      <c r="C1493">
        <v>3</v>
      </c>
      <c r="D1493" t="s">
        <v>51</v>
      </c>
      <c r="E1493" t="s">
        <v>45</v>
      </c>
      <c r="F1493" t="s">
        <v>27</v>
      </c>
      <c r="G1493" t="s">
        <v>23</v>
      </c>
      <c r="H1493">
        <v>5</v>
      </c>
      <c r="I1493">
        <v>32500</v>
      </c>
    </row>
    <row r="1494" spans="1:9" x14ac:dyDescent="0.3">
      <c r="A1494" s="1">
        <v>46063</v>
      </c>
      <c r="B1494">
        <v>2026</v>
      </c>
      <c r="C1494">
        <v>2</v>
      </c>
      <c r="D1494" t="s">
        <v>44</v>
      </c>
      <c r="E1494" t="s">
        <v>45</v>
      </c>
      <c r="F1494" t="s">
        <v>27</v>
      </c>
      <c r="G1494" t="s">
        <v>23</v>
      </c>
      <c r="H1494">
        <v>5</v>
      </c>
      <c r="I1494">
        <v>32500</v>
      </c>
    </row>
    <row r="1495" spans="1:9" x14ac:dyDescent="0.3">
      <c r="A1495" s="1">
        <v>46234</v>
      </c>
      <c r="B1495">
        <v>2026</v>
      </c>
      <c r="C1495">
        <v>7</v>
      </c>
      <c r="D1495" t="s">
        <v>42</v>
      </c>
      <c r="E1495" t="s">
        <v>43</v>
      </c>
      <c r="F1495" t="s">
        <v>27</v>
      </c>
      <c r="G1495" t="s">
        <v>23</v>
      </c>
      <c r="H1495">
        <v>3</v>
      </c>
      <c r="I1495">
        <v>19500</v>
      </c>
    </row>
    <row r="1496" spans="1:9" x14ac:dyDescent="0.3">
      <c r="A1496" s="1">
        <v>46226</v>
      </c>
      <c r="B1496">
        <v>2026</v>
      </c>
      <c r="C1496">
        <v>7</v>
      </c>
      <c r="D1496" t="s">
        <v>46</v>
      </c>
      <c r="E1496" t="s">
        <v>47</v>
      </c>
      <c r="F1496" t="s">
        <v>27</v>
      </c>
      <c r="G1496" t="s">
        <v>23</v>
      </c>
      <c r="H1496">
        <v>3</v>
      </c>
      <c r="I1496">
        <v>19500</v>
      </c>
    </row>
    <row r="1497" spans="1:9" x14ac:dyDescent="0.3">
      <c r="A1497" s="1">
        <v>46090</v>
      </c>
      <c r="B1497">
        <v>2026</v>
      </c>
      <c r="C1497">
        <v>3</v>
      </c>
      <c r="D1497" t="s">
        <v>40</v>
      </c>
      <c r="E1497" t="s">
        <v>41</v>
      </c>
      <c r="F1497" t="s">
        <v>27</v>
      </c>
      <c r="G1497" t="s">
        <v>23</v>
      </c>
      <c r="H1497">
        <v>5</v>
      </c>
      <c r="I1497">
        <v>32500</v>
      </c>
    </row>
    <row r="1498" spans="1:9" x14ac:dyDescent="0.3">
      <c r="A1498" s="1">
        <v>46094</v>
      </c>
      <c r="B1498">
        <v>2026</v>
      </c>
      <c r="C1498">
        <v>3</v>
      </c>
      <c r="D1498" t="s">
        <v>44</v>
      </c>
      <c r="E1498" t="s">
        <v>45</v>
      </c>
      <c r="F1498" t="s">
        <v>27</v>
      </c>
      <c r="G1498" t="s">
        <v>23</v>
      </c>
      <c r="H1498">
        <v>4</v>
      </c>
      <c r="I1498">
        <v>26000</v>
      </c>
    </row>
    <row r="1499" spans="1:9" x14ac:dyDescent="0.3">
      <c r="A1499" s="1">
        <v>46300</v>
      </c>
      <c r="B1499">
        <v>2026</v>
      </c>
      <c r="C1499">
        <v>10</v>
      </c>
      <c r="D1499" t="s">
        <v>42</v>
      </c>
      <c r="E1499" t="s">
        <v>43</v>
      </c>
      <c r="F1499" t="s">
        <v>27</v>
      </c>
      <c r="G1499" t="s">
        <v>23</v>
      </c>
      <c r="H1499">
        <v>1</v>
      </c>
      <c r="I1499">
        <v>6500</v>
      </c>
    </row>
    <row r="1500" spans="1:9" x14ac:dyDescent="0.3">
      <c r="A1500" s="1">
        <v>46152</v>
      </c>
      <c r="B1500">
        <v>2026</v>
      </c>
      <c r="C1500">
        <v>5</v>
      </c>
      <c r="D1500" t="s">
        <v>40</v>
      </c>
      <c r="E1500" t="s">
        <v>41</v>
      </c>
      <c r="F1500" t="s">
        <v>27</v>
      </c>
      <c r="G1500" t="s">
        <v>23</v>
      </c>
      <c r="H1500">
        <v>4</v>
      </c>
      <c r="I1500">
        <v>26000</v>
      </c>
    </row>
    <row r="1501" spans="1:9" x14ac:dyDescent="0.3">
      <c r="A1501" s="1">
        <v>46212</v>
      </c>
      <c r="B1501">
        <v>2026</v>
      </c>
      <c r="C1501">
        <v>7</v>
      </c>
      <c r="D1501" t="s">
        <v>40</v>
      </c>
      <c r="E1501" t="s">
        <v>41</v>
      </c>
      <c r="F1501" t="s">
        <v>27</v>
      </c>
      <c r="G1501" t="s">
        <v>23</v>
      </c>
      <c r="H1501">
        <v>5</v>
      </c>
      <c r="I1501">
        <v>32500</v>
      </c>
    </row>
    <row r="1502" spans="1:9" x14ac:dyDescent="0.3">
      <c r="A1502" s="1">
        <v>46190</v>
      </c>
      <c r="B1502">
        <v>2026</v>
      </c>
      <c r="C1502">
        <v>6</v>
      </c>
      <c r="D1502" t="s">
        <v>46</v>
      </c>
      <c r="E1502" t="s">
        <v>47</v>
      </c>
      <c r="F1502" t="s">
        <v>27</v>
      </c>
      <c r="G1502" t="s">
        <v>23</v>
      </c>
      <c r="H1502">
        <v>2</v>
      </c>
      <c r="I1502">
        <v>13000</v>
      </c>
    </row>
    <row r="1503" spans="1:9" x14ac:dyDescent="0.3">
      <c r="A1503" s="1">
        <v>46290</v>
      </c>
      <c r="B1503">
        <v>2026</v>
      </c>
      <c r="C1503">
        <v>9</v>
      </c>
      <c r="D1503" t="s">
        <v>48</v>
      </c>
      <c r="E1503" t="s">
        <v>43</v>
      </c>
      <c r="F1503" t="s">
        <v>22</v>
      </c>
      <c r="G1503" t="s">
        <v>23</v>
      </c>
      <c r="H1503">
        <v>2</v>
      </c>
      <c r="I1503">
        <v>44000</v>
      </c>
    </row>
    <row r="1504" spans="1:9" x14ac:dyDescent="0.3">
      <c r="A1504" s="1">
        <v>46276</v>
      </c>
      <c r="B1504">
        <v>2026</v>
      </c>
      <c r="C1504">
        <v>9</v>
      </c>
      <c r="D1504" t="s">
        <v>40</v>
      </c>
      <c r="E1504" t="s">
        <v>41</v>
      </c>
      <c r="F1504" t="s">
        <v>22</v>
      </c>
      <c r="G1504" t="s">
        <v>23</v>
      </c>
      <c r="H1504">
        <v>3</v>
      </c>
      <c r="I1504">
        <v>66000</v>
      </c>
    </row>
    <row r="1505" spans="1:9" x14ac:dyDescent="0.3">
      <c r="A1505" s="1">
        <v>46096</v>
      </c>
      <c r="B1505">
        <v>2026</v>
      </c>
      <c r="C1505">
        <v>3</v>
      </c>
      <c r="D1505" t="s">
        <v>49</v>
      </c>
      <c r="E1505" t="s">
        <v>47</v>
      </c>
      <c r="F1505" t="s">
        <v>22</v>
      </c>
      <c r="G1505" t="s">
        <v>23</v>
      </c>
      <c r="H1505">
        <v>4</v>
      </c>
      <c r="I1505">
        <v>88000</v>
      </c>
    </row>
    <row r="1506" spans="1:9" x14ac:dyDescent="0.3">
      <c r="A1506" s="1">
        <v>46163</v>
      </c>
      <c r="B1506">
        <v>2026</v>
      </c>
      <c r="C1506">
        <v>5</v>
      </c>
      <c r="D1506" t="s">
        <v>48</v>
      </c>
      <c r="E1506" t="s">
        <v>43</v>
      </c>
      <c r="F1506" t="s">
        <v>22</v>
      </c>
      <c r="G1506" t="s">
        <v>23</v>
      </c>
      <c r="H1506">
        <v>4</v>
      </c>
      <c r="I1506">
        <v>88000</v>
      </c>
    </row>
    <row r="1507" spans="1:9" x14ac:dyDescent="0.3">
      <c r="A1507" s="1">
        <v>46081</v>
      </c>
      <c r="B1507">
        <v>2026</v>
      </c>
      <c r="C1507">
        <v>2</v>
      </c>
      <c r="D1507" t="s">
        <v>46</v>
      </c>
      <c r="E1507" t="s">
        <v>47</v>
      </c>
      <c r="F1507" t="s">
        <v>22</v>
      </c>
      <c r="G1507" t="s">
        <v>23</v>
      </c>
      <c r="H1507">
        <v>3</v>
      </c>
      <c r="I1507">
        <v>66000</v>
      </c>
    </row>
    <row r="1508" spans="1:9" x14ac:dyDescent="0.3">
      <c r="A1508" s="1">
        <v>46050</v>
      </c>
      <c r="B1508">
        <v>2026</v>
      </c>
      <c r="C1508">
        <v>1</v>
      </c>
      <c r="D1508" t="s">
        <v>46</v>
      </c>
      <c r="E1508" t="s">
        <v>47</v>
      </c>
      <c r="F1508" t="s">
        <v>22</v>
      </c>
      <c r="G1508" t="s">
        <v>23</v>
      </c>
      <c r="H1508">
        <v>1</v>
      </c>
      <c r="I1508">
        <v>22000</v>
      </c>
    </row>
    <row r="1509" spans="1:9" x14ac:dyDescent="0.3">
      <c r="A1509" s="1">
        <v>46127</v>
      </c>
      <c r="B1509">
        <v>2026</v>
      </c>
      <c r="C1509">
        <v>4</v>
      </c>
      <c r="D1509" t="s">
        <v>50</v>
      </c>
      <c r="E1509" t="s">
        <v>41</v>
      </c>
      <c r="F1509" t="s">
        <v>22</v>
      </c>
      <c r="G1509" t="s">
        <v>23</v>
      </c>
      <c r="H1509">
        <v>3</v>
      </c>
      <c r="I1509">
        <v>66000</v>
      </c>
    </row>
    <row r="1510" spans="1:9" x14ac:dyDescent="0.3">
      <c r="A1510" s="1">
        <v>46028</v>
      </c>
      <c r="B1510">
        <v>2026</v>
      </c>
      <c r="C1510">
        <v>1</v>
      </c>
      <c r="D1510" t="s">
        <v>51</v>
      </c>
      <c r="E1510" t="s">
        <v>45</v>
      </c>
      <c r="F1510" t="s">
        <v>22</v>
      </c>
      <c r="G1510" t="s">
        <v>23</v>
      </c>
      <c r="H1510">
        <v>4</v>
      </c>
      <c r="I1510">
        <v>88000</v>
      </c>
    </row>
    <row r="1511" spans="1:9" x14ac:dyDescent="0.3">
      <c r="A1511" s="1">
        <v>46036</v>
      </c>
      <c r="B1511">
        <v>2026</v>
      </c>
      <c r="C1511">
        <v>1</v>
      </c>
      <c r="D1511" t="s">
        <v>51</v>
      </c>
      <c r="E1511" t="s">
        <v>45</v>
      </c>
      <c r="F1511" t="s">
        <v>22</v>
      </c>
      <c r="G1511" t="s">
        <v>23</v>
      </c>
      <c r="H1511">
        <v>4</v>
      </c>
      <c r="I1511">
        <v>88000</v>
      </c>
    </row>
    <row r="1512" spans="1:9" x14ac:dyDescent="0.3">
      <c r="A1512" s="1">
        <v>46244</v>
      </c>
      <c r="B1512">
        <v>2026</v>
      </c>
      <c r="C1512">
        <v>8</v>
      </c>
      <c r="D1512" t="s">
        <v>42</v>
      </c>
      <c r="E1512" t="s">
        <v>43</v>
      </c>
      <c r="F1512" t="s">
        <v>22</v>
      </c>
      <c r="G1512" t="s">
        <v>23</v>
      </c>
      <c r="H1512">
        <v>4</v>
      </c>
      <c r="I1512">
        <v>88000</v>
      </c>
    </row>
    <row r="1513" spans="1:9" x14ac:dyDescent="0.3">
      <c r="A1513" s="1">
        <v>46129</v>
      </c>
      <c r="B1513">
        <v>2026</v>
      </c>
      <c r="C1513">
        <v>4</v>
      </c>
      <c r="D1513" t="s">
        <v>48</v>
      </c>
      <c r="E1513" t="s">
        <v>43</v>
      </c>
      <c r="F1513" t="s">
        <v>22</v>
      </c>
      <c r="G1513" t="s">
        <v>23</v>
      </c>
      <c r="H1513">
        <v>2</v>
      </c>
      <c r="I1513">
        <v>44000</v>
      </c>
    </row>
    <row r="1514" spans="1:9" x14ac:dyDescent="0.3">
      <c r="A1514" s="1">
        <v>46190</v>
      </c>
      <c r="B1514">
        <v>2026</v>
      </c>
      <c r="C1514">
        <v>6</v>
      </c>
      <c r="D1514" t="s">
        <v>50</v>
      </c>
      <c r="E1514" t="s">
        <v>41</v>
      </c>
      <c r="F1514" t="s">
        <v>22</v>
      </c>
      <c r="G1514" t="s">
        <v>23</v>
      </c>
      <c r="H1514">
        <v>3</v>
      </c>
      <c r="I1514">
        <v>66000</v>
      </c>
    </row>
    <row r="1515" spans="1:9" x14ac:dyDescent="0.3">
      <c r="A1515" s="1">
        <v>46201</v>
      </c>
      <c r="B1515">
        <v>2026</v>
      </c>
      <c r="C1515">
        <v>6</v>
      </c>
      <c r="D1515" t="s">
        <v>48</v>
      </c>
      <c r="E1515" t="s">
        <v>43</v>
      </c>
      <c r="F1515" t="s">
        <v>22</v>
      </c>
      <c r="G1515" t="s">
        <v>23</v>
      </c>
      <c r="H1515">
        <v>2</v>
      </c>
      <c r="I1515">
        <v>44000</v>
      </c>
    </row>
    <row r="1516" spans="1:9" x14ac:dyDescent="0.3">
      <c r="A1516" s="1">
        <v>46245</v>
      </c>
      <c r="B1516">
        <v>2026</v>
      </c>
      <c r="C1516">
        <v>8</v>
      </c>
      <c r="D1516" t="s">
        <v>48</v>
      </c>
      <c r="E1516" t="s">
        <v>43</v>
      </c>
      <c r="F1516" t="s">
        <v>22</v>
      </c>
      <c r="G1516" t="s">
        <v>23</v>
      </c>
      <c r="H1516">
        <v>4</v>
      </c>
      <c r="I1516">
        <v>88000</v>
      </c>
    </row>
    <row r="1517" spans="1:9" x14ac:dyDescent="0.3">
      <c r="A1517" s="1">
        <v>46144</v>
      </c>
      <c r="B1517">
        <v>2026</v>
      </c>
      <c r="C1517">
        <v>5</v>
      </c>
      <c r="D1517" t="s">
        <v>51</v>
      </c>
      <c r="E1517" t="s">
        <v>45</v>
      </c>
      <c r="F1517" t="s">
        <v>22</v>
      </c>
      <c r="G1517" t="s">
        <v>23</v>
      </c>
      <c r="H1517">
        <v>1</v>
      </c>
      <c r="I1517">
        <v>22000</v>
      </c>
    </row>
    <row r="1518" spans="1:9" x14ac:dyDescent="0.3">
      <c r="A1518" s="1">
        <v>46269</v>
      </c>
      <c r="B1518">
        <v>2026</v>
      </c>
      <c r="C1518">
        <v>9</v>
      </c>
      <c r="D1518" t="s">
        <v>50</v>
      </c>
      <c r="E1518" t="s">
        <v>41</v>
      </c>
      <c r="F1518" t="s">
        <v>22</v>
      </c>
      <c r="G1518" t="s">
        <v>23</v>
      </c>
      <c r="H1518">
        <v>4</v>
      </c>
      <c r="I1518">
        <v>88000</v>
      </c>
    </row>
    <row r="1519" spans="1:9" x14ac:dyDescent="0.3">
      <c r="A1519" s="1">
        <v>46302</v>
      </c>
      <c r="B1519">
        <v>2026</v>
      </c>
      <c r="C1519">
        <v>10</v>
      </c>
      <c r="D1519" t="s">
        <v>50</v>
      </c>
      <c r="E1519" t="s">
        <v>41</v>
      </c>
      <c r="F1519" t="s">
        <v>22</v>
      </c>
      <c r="G1519" t="s">
        <v>23</v>
      </c>
      <c r="H1519">
        <v>4</v>
      </c>
      <c r="I1519">
        <v>88000</v>
      </c>
    </row>
    <row r="1520" spans="1:9" x14ac:dyDescent="0.3">
      <c r="A1520" s="1">
        <v>46058</v>
      </c>
      <c r="B1520">
        <v>2026</v>
      </c>
      <c r="C1520">
        <v>2</v>
      </c>
      <c r="D1520" t="s">
        <v>50</v>
      </c>
      <c r="E1520" t="s">
        <v>41</v>
      </c>
      <c r="F1520" t="s">
        <v>22</v>
      </c>
      <c r="G1520" t="s">
        <v>23</v>
      </c>
      <c r="H1520">
        <v>1</v>
      </c>
      <c r="I1520">
        <v>22000</v>
      </c>
    </row>
    <row r="1521" spans="1:9" x14ac:dyDescent="0.3">
      <c r="A1521" s="1">
        <v>46049</v>
      </c>
      <c r="B1521">
        <v>2026</v>
      </c>
      <c r="C1521">
        <v>1</v>
      </c>
      <c r="D1521" t="s">
        <v>42</v>
      </c>
      <c r="E1521" t="s">
        <v>43</v>
      </c>
      <c r="F1521" t="s">
        <v>22</v>
      </c>
      <c r="G1521" t="s">
        <v>23</v>
      </c>
      <c r="H1521">
        <v>1</v>
      </c>
      <c r="I1521">
        <v>22000</v>
      </c>
    </row>
    <row r="1522" spans="1:9" x14ac:dyDescent="0.3">
      <c r="A1522" s="1">
        <v>46303</v>
      </c>
      <c r="B1522">
        <v>2026</v>
      </c>
      <c r="C1522">
        <v>10</v>
      </c>
      <c r="D1522" t="s">
        <v>40</v>
      </c>
      <c r="E1522" t="s">
        <v>41</v>
      </c>
      <c r="F1522" t="s">
        <v>22</v>
      </c>
      <c r="G1522" t="s">
        <v>23</v>
      </c>
      <c r="H1522">
        <v>4</v>
      </c>
      <c r="I1522">
        <v>88000</v>
      </c>
    </row>
    <row r="1523" spans="1:9" x14ac:dyDescent="0.3">
      <c r="A1523" s="1">
        <v>46324</v>
      </c>
      <c r="B1523">
        <v>2026</v>
      </c>
      <c r="C1523">
        <v>10</v>
      </c>
      <c r="D1523" t="s">
        <v>44</v>
      </c>
      <c r="E1523" t="s">
        <v>45</v>
      </c>
      <c r="F1523" t="s">
        <v>22</v>
      </c>
      <c r="G1523" t="s">
        <v>23</v>
      </c>
      <c r="H1523">
        <v>1</v>
      </c>
      <c r="I1523">
        <v>22000</v>
      </c>
    </row>
    <row r="1524" spans="1:9" x14ac:dyDescent="0.3">
      <c r="A1524" s="1">
        <v>46319</v>
      </c>
      <c r="B1524">
        <v>2026</v>
      </c>
      <c r="C1524">
        <v>10</v>
      </c>
      <c r="D1524" t="s">
        <v>49</v>
      </c>
      <c r="E1524" t="s">
        <v>47</v>
      </c>
      <c r="F1524" t="s">
        <v>22</v>
      </c>
      <c r="G1524" t="s">
        <v>23</v>
      </c>
      <c r="H1524">
        <v>4</v>
      </c>
      <c r="I1524">
        <v>88000</v>
      </c>
    </row>
    <row r="1525" spans="1:9" x14ac:dyDescent="0.3">
      <c r="A1525" s="1">
        <v>46222</v>
      </c>
      <c r="B1525">
        <v>2026</v>
      </c>
      <c r="C1525">
        <v>7</v>
      </c>
      <c r="D1525" t="s">
        <v>40</v>
      </c>
      <c r="E1525" t="s">
        <v>41</v>
      </c>
      <c r="F1525" t="s">
        <v>22</v>
      </c>
      <c r="G1525" t="s">
        <v>23</v>
      </c>
      <c r="H1525">
        <v>4</v>
      </c>
      <c r="I1525">
        <v>88000</v>
      </c>
    </row>
    <row r="1526" spans="1:9" x14ac:dyDescent="0.3">
      <c r="A1526" s="1">
        <v>46152</v>
      </c>
      <c r="B1526">
        <v>2026</v>
      </c>
      <c r="C1526">
        <v>5</v>
      </c>
      <c r="D1526" t="s">
        <v>40</v>
      </c>
      <c r="E1526" t="s">
        <v>41</v>
      </c>
      <c r="F1526" t="s">
        <v>22</v>
      </c>
      <c r="G1526" t="s">
        <v>23</v>
      </c>
      <c r="H1526">
        <v>2</v>
      </c>
      <c r="I1526">
        <v>44000</v>
      </c>
    </row>
    <row r="1527" spans="1:9" x14ac:dyDescent="0.3">
      <c r="A1527" s="1">
        <v>46294</v>
      </c>
      <c r="B1527">
        <v>2026</v>
      </c>
      <c r="C1527">
        <v>9</v>
      </c>
      <c r="D1527" t="s">
        <v>42</v>
      </c>
      <c r="E1527" t="s">
        <v>43</v>
      </c>
      <c r="F1527" t="s">
        <v>22</v>
      </c>
      <c r="G1527" t="s">
        <v>23</v>
      </c>
      <c r="H1527">
        <v>2</v>
      </c>
      <c r="I1527">
        <v>44000</v>
      </c>
    </row>
    <row r="1528" spans="1:9" x14ac:dyDescent="0.3">
      <c r="A1528" s="1">
        <v>46319</v>
      </c>
      <c r="B1528">
        <v>2026</v>
      </c>
      <c r="C1528">
        <v>10</v>
      </c>
      <c r="D1528" t="s">
        <v>40</v>
      </c>
      <c r="E1528" t="s">
        <v>41</v>
      </c>
      <c r="F1528" t="s">
        <v>22</v>
      </c>
      <c r="G1528" t="s">
        <v>23</v>
      </c>
      <c r="H1528">
        <v>2</v>
      </c>
      <c r="I1528">
        <v>44000</v>
      </c>
    </row>
    <row r="1529" spans="1:9" x14ac:dyDescent="0.3">
      <c r="A1529" s="1">
        <v>46087</v>
      </c>
      <c r="B1529">
        <v>2026</v>
      </c>
      <c r="C1529">
        <v>3</v>
      </c>
      <c r="D1529" t="s">
        <v>49</v>
      </c>
      <c r="E1529" t="s">
        <v>47</v>
      </c>
      <c r="F1529" t="s">
        <v>22</v>
      </c>
      <c r="G1529" t="s">
        <v>23</v>
      </c>
      <c r="H1529">
        <v>4</v>
      </c>
      <c r="I1529">
        <v>88000</v>
      </c>
    </row>
    <row r="1530" spans="1:9" x14ac:dyDescent="0.3">
      <c r="A1530" s="1">
        <v>46209</v>
      </c>
      <c r="B1530">
        <v>2026</v>
      </c>
      <c r="C1530">
        <v>7</v>
      </c>
      <c r="D1530" t="s">
        <v>50</v>
      </c>
      <c r="E1530" t="s">
        <v>41</v>
      </c>
      <c r="F1530" t="s">
        <v>22</v>
      </c>
      <c r="G1530" t="s">
        <v>23</v>
      </c>
      <c r="H1530">
        <v>3</v>
      </c>
      <c r="I1530">
        <v>66000</v>
      </c>
    </row>
    <row r="1531" spans="1:9" x14ac:dyDescent="0.3">
      <c r="A1531" s="1">
        <v>46217</v>
      </c>
      <c r="B1531">
        <v>2026</v>
      </c>
      <c r="C1531">
        <v>7</v>
      </c>
      <c r="D1531" t="s">
        <v>48</v>
      </c>
      <c r="E1531" t="s">
        <v>43</v>
      </c>
      <c r="F1531" t="s">
        <v>22</v>
      </c>
      <c r="G1531" t="s">
        <v>23</v>
      </c>
      <c r="H1531">
        <v>2</v>
      </c>
      <c r="I1531">
        <v>44000</v>
      </c>
    </row>
    <row r="1532" spans="1:9" x14ac:dyDescent="0.3">
      <c r="A1532" s="1">
        <v>46247</v>
      </c>
      <c r="B1532">
        <v>2026</v>
      </c>
      <c r="C1532">
        <v>8</v>
      </c>
      <c r="D1532" t="s">
        <v>42</v>
      </c>
      <c r="E1532" t="s">
        <v>43</v>
      </c>
      <c r="F1532" t="s">
        <v>22</v>
      </c>
      <c r="G1532" t="s">
        <v>23</v>
      </c>
      <c r="H1532">
        <v>3</v>
      </c>
      <c r="I1532">
        <v>66000</v>
      </c>
    </row>
    <row r="1533" spans="1:9" x14ac:dyDescent="0.3">
      <c r="A1533" s="1">
        <v>46264</v>
      </c>
      <c r="B1533">
        <v>2026</v>
      </c>
      <c r="C1533">
        <v>8</v>
      </c>
      <c r="D1533" t="s">
        <v>50</v>
      </c>
      <c r="E1533" t="s">
        <v>41</v>
      </c>
      <c r="F1533" t="s">
        <v>22</v>
      </c>
      <c r="G1533" t="s">
        <v>23</v>
      </c>
      <c r="H1533">
        <v>3</v>
      </c>
      <c r="I1533">
        <v>66000</v>
      </c>
    </row>
    <row r="1534" spans="1:9" x14ac:dyDescent="0.3">
      <c r="A1534" s="1">
        <v>46059</v>
      </c>
      <c r="B1534">
        <v>2026</v>
      </c>
      <c r="C1534">
        <v>2</v>
      </c>
      <c r="D1534" t="s">
        <v>40</v>
      </c>
      <c r="E1534" t="s">
        <v>41</v>
      </c>
      <c r="F1534" t="s">
        <v>22</v>
      </c>
      <c r="G1534" t="s">
        <v>23</v>
      </c>
      <c r="H1534">
        <v>2</v>
      </c>
      <c r="I1534">
        <v>44000</v>
      </c>
    </row>
    <row r="1535" spans="1:9" x14ac:dyDescent="0.3">
      <c r="A1535" s="1">
        <v>46093</v>
      </c>
      <c r="B1535">
        <v>2026</v>
      </c>
      <c r="C1535">
        <v>3</v>
      </c>
      <c r="D1535" t="s">
        <v>49</v>
      </c>
      <c r="E1535" t="s">
        <v>47</v>
      </c>
      <c r="F1535" t="s">
        <v>22</v>
      </c>
      <c r="G1535" t="s">
        <v>23</v>
      </c>
      <c r="H1535">
        <v>2</v>
      </c>
      <c r="I1535">
        <v>44000</v>
      </c>
    </row>
    <row r="1536" spans="1:9" x14ac:dyDescent="0.3">
      <c r="A1536" s="1">
        <v>46161</v>
      </c>
      <c r="B1536">
        <v>2026</v>
      </c>
      <c r="C1536">
        <v>5</v>
      </c>
      <c r="D1536" t="s">
        <v>51</v>
      </c>
      <c r="E1536" t="s">
        <v>45</v>
      </c>
      <c r="F1536" t="s">
        <v>22</v>
      </c>
      <c r="G1536" t="s">
        <v>23</v>
      </c>
      <c r="H1536">
        <v>1</v>
      </c>
      <c r="I1536">
        <v>22000</v>
      </c>
    </row>
    <row r="1537" spans="1:9" x14ac:dyDescent="0.3">
      <c r="A1537" s="1">
        <v>46099</v>
      </c>
      <c r="B1537">
        <v>2026</v>
      </c>
      <c r="C1537">
        <v>3</v>
      </c>
      <c r="D1537" t="s">
        <v>42</v>
      </c>
      <c r="E1537" t="s">
        <v>43</v>
      </c>
      <c r="F1537" t="s">
        <v>22</v>
      </c>
      <c r="G1537" t="s">
        <v>23</v>
      </c>
      <c r="H1537">
        <v>1</v>
      </c>
      <c r="I1537">
        <v>22000</v>
      </c>
    </row>
    <row r="1538" spans="1:9" x14ac:dyDescent="0.3">
      <c r="A1538" s="1">
        <v>46050</v>
      </c>
      <c r="B1538">
        <v>2026</v>
      </c>
      <c r="C1538">
        <v>1</v>
      </c>
      <c r="D1538" t="s">
        <v>40</v>
      </c>
      <c r="E1538" t="s">
        <v>41</v>
      </c>
      <c r="F1538" t="s">
        <v>22</v>
      </c>
      <c r="G1538" t="s">
        <v>23</v>
      </c>
      <c r="H1538">
        <v>4</v>
      </c>
      <c r="I1538">
        <v>88000</v>
      </c>
    </row>
    <row r="1539" spans="1:9" x14ac:dyDescent="0.3">
      <c r="A1539" s="1">
        <v>46186</v>
      </c>
      <c r="B1539">
        <v>2026</v>
      </c>
      <c r="C1539">
        <v>6</v>
      </c>
      <c r="D1539" t="s">
        <v>46</v>
      </c>
      <c r="E1539" t="s">
        <v>47</v>
      </c>
      <c r="F1539" t="s">
        <v>22</v>
      </c>
      <c r="G1539" t="s">
        <v>23</v>
      </c>
      <c r="H1539">
        <v>4</v>
      </c>
      <c r="I1539">
        <v>88000</v>
      </c>
    </row>
    <row r="1540" spans="1:9" x14ac:dyDescent="0.3">
      <c r="A1540" s="1">
        <v>46136</v>
      </c>
      <c r="B1540">
        <v>2026</v>
      </c>
      <c r="C1540">
        <v>4</v>
      </c>
      <c r="D1540" t="s">
        <v>49</v>
      </c>
      <c r="E1540" t="s">
        <v>47</v>
      </c>
      <c r="F1540" t="s">
        <v>22</v>
      </c>
      <c r="G1540" t="s">
        <v>23</v>
      </c>
      <c r="H1540">
        <v>3</v>
      </c>
      <c r="I1540">
        <v>66000</v>
      </c>
    </row>
    <row r="1541" spans="1:9" x14ac:dyDescent="0.3">
      <c r="A1541" s="1">
        <v>46203</v>
      </c>
      <c r="B1541">
        <v>2026</v>
      </c>
      <c r="C1541">
        <v>6</v>
      </c>
      <c r="D1541" t="s">
        <v>50</v>
      </c>
      <c r="E1541" t="s">
        <v>41</v>
      </c>
      <c r="F1541" t="s">
        <v>22</v>
      </c>
      <c r="G1541" t="s">
        <v>23</v>
      </c>
      <c r="H1541">
        <v>2</v>
      </c>
      <c r="I1541">
        <v>44000</v>
      </c>
    </row>
    <row r="1542" spans="1:9" x14ac:dyDescent="0.3">
      <c r="A1542" s="1">
        <v>46136</v>
      </c>
      <c r="B1542">
        <v>2026</v>
      </c>
      <c r="C1542">
        <v>4</v>
      </c>
      <c r="D1542" t="s">
        <v>44</v>
      </c>
      <c r="E1542" t="s">
        <v>45</v>
      </c>
      <c r="F1542" t="s">
        <v>22</v>
      </c>
      <c r="G1542" t="s">
        <v>23</v>
      </c>
      <c r="H1542">
        <v>4</v>
      </c>
      <c r="I1542">
        <v>88000</v>
      </c>
    </row>
    <row r="1543" spans="1:9" x14ac:dyDescent="0.3">
      <c r="A1543" s="1">
        <v>46275</v>
      </c>
      <c r="B1543">
        <v>2026</v>
      </c>
      <c r="C1543">
        <v>9</v>
      </c>
      <c r="D1543" t="s">
        <v>42</v>
      </c>
      <c r="E1543" t="s">
        <v>43</v>
      </c>
      <c r="F1543" t="s">
        <v>22</v>
      </c>
      <c r="G1543" t="s">
        <v>23</v>
      </c>
      <c r="H1543">
        <v>3</v>
      </c>
      <c r="I1543">
        <v>66000</v>
      </c>
    </row>
    <row r="1544" spans="1:9" x14ac:dyDescent="0.3">
      <c r="A1544" s="1">
        <v>46032</v>
      </c>
      <c r="B1544">
        <v>2026</v>
      </c>
      <c r="C1544">
        <v>1</v>
      </c>
      <c r="D1544" t="s">
        <v>40</v>
      </c>
      <c r="E1544" t="s">
        <v>41</v>
      </c>
      <c r="F1544" t="s">
        <v>22</v>
      </c>
      <c r="G1544" t="s">
        <v>23</v>
      </c>
      <c r="H1544">
        <v>4</v>
      </c>
      <c r="I1544">
        <v>88000</v>
      </c>
    </row>
    <row r="1545" spans="1:9" x14ac:dyDescent="0.3">
      <c r="A1545" s="1">
        <v>46224</v>
      </c>
      <c r="B1545">
        <v>2026</v>
      </c>
      <c r="C1545">
        <v>7</v>
      </c>
      <c r="D1545" t="s">
        <v>42</v>
      </c>
      <c r="E1545" t="s">
        <v>43</v>
      </c>
      <c r="F1545" t="s">
        <v>22</v>
      </c>
      <c r="G1545" t="s">
        <v>23</v>
      </c>
      <c r="H1545">
        <v>1</v>
      </c>
      <c r="I1545">
        <v>22000</v>
      </c>
    </row>
    <row r="1546" spans="1:9" x14ac:dyDescent="0.3">
      <c r="A1546" s="1">
        <v>46107</v>
      </c>
      <c r="B1546">
        <v>2026</v>
      </c>
      <c r="C1546">
        <v>3</v>
      </c>
      <c r="D1546" t="s">
        <v>48</v>
      </c>
      <c r="E1546" t="s">
        <v>43</v>
      </c>
      <c r="F1546" t="s">
        <v>22</v>
      </c>
      <c r="G1546" t="s">
        <v>23</v>
      </c>
      <c r="H1546">
        <v>1</v>
      </c>
      <c r="I1546">
        <v>22000</v>
      </c>
    </row>
    <row r="1547" spans="1:9" x14ac:dyDescent="0.3">
      <c r="A1547" s="1">
        <v>46037</v>
      </c>
      <c r="B1547">
        <v>2026</v>
      </c>
      <c r="C1547">
        <v>1</v>
      </c>
      <c r="D1547" t="s">
        <v>42</v>
      </c>
      <c r="E1547" t="s">
        <v>43</v>
      </c>
      <c r="F1547" t="s">
        <v>22</v>
      </c>
      <c r="G1547" t="s">
        <v>23</v>
      </c>
      <c r="H1547">
        <v>1</v>
      </c>
      <c r="I1547">
        <v>22000</v>
      </c>
    </row>
    <row r="1548" spans="1:9" x14ac:dyDescent="0.3">
      <c r="A1548" s="1">
        <v>46081</v>
      </c>
      <c r="B1548">
        <v>2026</v>
      </c>
      <c r="C1548">
        <v>2</v>
      </c>
      <c r="D1548" t="s">
        <v>42</v>
      </c>
      <c r="E1548" t="s">
        <v>43</v>
      </c>
      <c r="F1548" t="s">
        <v>22</v>
      </c>
      <c r="G1548" t="s">
        <v>23</v>
      </c>
      <c r="H1548">
        <v>4</v>
      </c>
      <c r="I1548">
        <v>88000</v>
      </c>
    </row>
    <row r="1549" spans="1:9" x14ac:dyDescent="0.3">
      <c r="A1549" s="1">
        <v>46134</v>
      </c>
      <c r="B1549">
        <v>2026</v>
      </c>
      <c r="C1549">
        <v>4</v>
      </c>
      <c r="D1549" t="s">
        <v>48</v>
      </c>
      <c r="E1549" t="s">
        <v>43</v>
      </c>
      <c r="F1549" t="s">
        <v>22</v>
      </c>
      <c r="G1549" t="s">
        <v>23</v>
      </c>
      <c r="H1549">
        <v>4</v>
      </c>
      <c r="I1549">
        <v>88000</v>
      </c>
    </row>
    <row r="1550" spans="1:9" x14ac:dyDescent="0.3">
      <c r="A1550" s="1">
        <v>46073</v>
      </c>
      <c r="B1550">
        <v>2026</v>
      </c>
      <c r="C1550">
        <v>2</v>
      </c>
      <c r="D1550" t="s">
        <v>49</v>
      </c>
      <c r="E1550" t="s">
        <v>47</v>
      </c>
      <c r="F1550" t="s">
        <v>22</v>
      </c>
      <c r="G1550" t="s">
        <v>23</v>
      </c>
      <c r="H1550">
        <v>4</v>
      </c>
      <c r="I1550">
        <v>88000</v>
      </c>
    </row>
    <row r="1551" spans="1:9" x14ac:dyDescent="0.3">
      <c r="A1551" s="1">
        <v>46189</v>
      </c>
      <c r="B1551">
        <v>2026</v>
      </c>
      <c r="C1551">
        <v>6</v>
      </c>
      <c r="D1551" t="s">
        <v>51</v>
      </c>
      <c r="E1551" t="s">
        <v>45</v>
      </c>
      <c r="F1551" t="s">
        <v>22</v>
      </c>
      <c r="G1551" t="s">
        <v>23</v>
      </c>
      <c r="H1551">
        <v>4</v>
      </c>
      <c r="I1551">
        <v>88000</v>
      </c>
    </row>
    <row r="1552" spans="1:9" x14ac:dyDescent="0.3">
      <c r="A1552" s="1">
        <v>46027</v>
      </c>
      <c r="B1552">
        <v>2026</v>
      </c>
      <c r="C1552">
        <v>1</v>
      </c>
      <c r="D1552" t="s">
        <v>40</v>
      </c>
      <c r="E1552" t="s">
        <v>41</v>
      </c>
      <c r="F1552" t="s">
        <v>22</v>
      </c>
      <c r="G1552" t="s">
        <v>23</v>
      </c>
      <c r="H1552">
        <v>1</v>
      </c>
      <c r="I1552">
        <v>22000</v>
      </c>
    </row>
    <row r="1553" spans="1:9" x14ac:dyDescent="0.3">
      <c r="A1553" s="1">
        <v>46119</v>
      </c>
      <c r="B1553">
        <v>2026</v>
      </c>
      <c r="C1553">
        <v>4</v>
      </c>
      <c r="D1553" t="s">
        <v>51</v>
      </c>
      <c r="E1553" t="s">
        <v>45</v>
      </c>
      <c r="F1553" t="s">
        <v>22</v>
      </c>
      <c r="G1553" t="s">
        <v>23</v>
      </c>
      <c r="H1553">
        <v>4</v>
      </c>
      <c r="I1553">
        <v>88000</v>
      </c>
    </row>
    <row r="1554" spans="1:9" x14ac:dyDescent="0.3">
      <c r="A1554" s="1">
        <v>46151</v>
      </c>
      <c r="B1554">
        <v>2026</v>
      </c>
      <c r="C1554">
        <v>5</v>
      </c>
      <c r="D1554" t="s">
        <v>46</v>
      </c>
      <c r="E1554" t="s">
        <v>47</v>
      </c>
      <c r="F1554" t="s">
        <v>22</v>
      </c>
      <c r="G1554" t="s">
        <v>23</v>
      </c>
      <c r="H1554">
        <v>3</v>
      </c>
      <c r="I1554">
        <v>66000</v>
      </c>
    </row>
    <row r="1555" spans="1:9" x14ac:dyDescent="0.3">
      <c r="A1555" s="1">
        <v>46281</v>
      </c>
      <c r="B1555">
        <v>2026</v>
      </c>
      <c r="C1555">
        <v>9</v>
      </c>
      <c r="D1555" t="s">
        <v>48</v>
      </c>
      <c r="E1555" t="s">
        <v>43</v>
      </c>
      <c r="F1555" t="s">
        <v>22</v>
      </c>
      <c r="G1555" t="s">
        <v>23</v>
      </c>
      <c r="H1555">
        <v>3</v>
      </c>
      <c r="I1555">
        <v>66000</v>
      </c>
    </row>
    <row r="1556" spans="1:9" x14ac:dyDescent="0.3">
      <c r="A1556" s="1">
        <v>46028</v>
      </c>
      <c r="B1556">
        <v>2026</v>
      </c>
      <c r="C1556">
        <v>1</v>
      </c>
      <c r="D1556" t="s">
        <v>46</v>
      </c>
      <c r="E1556" t="s">
        <v>47</v>
      </c>
      <c r="F1556" t="s">
        <v>22</v>
      </c>
      <c r="G1556" t="s">
        <v>23</v>
      </c>
      <c r="H1556">
        <v>3</v>
      </c>
      <c r="I1556">
        <v>66000</v>
      </c>
    </row>
    <row r="1557" spans="1:9" x14ac:dyDescent="0.3">
      <c r="A1557" s="1">
        <v>46123</v>
      </c>
      <c r="B1557">
        <v>2026</v>
      </c>
      <c r="C1557">
        <v>4</v>
      </c>
      <c r="D1557" t="s">
        <v>48</v>
      </c>
      <c r="E1557" t="s">
        <v>43</v>
      </c>
      <c r="F1557" t="s">
        <v>22</v>
      </c>
      <c r="G1557" t="s">
        <v>23</v>
      </c>
      <c r="H1557">
        <v>3</v>
      </c>
      <c r="I1557">
        <v>66000</v>
      </c>
    </row>
    <row r="1558" spans="1:9" x14ac:dyDescent="0.3">
      <c r="A1558" s="1">
        <v>46069</v>
      </c>
      <c r="B1558">
        <v>2026</v>
      </c>
      <c r="C1558">
        <v>2</v>
      </c>
      <c r="D1558" t="s">
        <v>51</v>
      </c>
      <c r="E1558" t="s">
        <v>45</v>
      </c>
      <c r="F1558" t="s">
        <v>22</v>
      </c>
      <c r="G1558" t="s">
        <v>23</v>
      </c>
      <c r="H1558">
        <v>4</v>
      </c>
      <c r="I1558">
        <v>88000</v>
      </c>
    </row>
    <row r="1559" spans="1:9" x14ac:dyDescent="0.3">
      <c r="A1559" s="1">
        <v>46301</v>
      </c>
      <c r="B1559">
        <v>2026</v>
      </c>
      <c r="C1559">
        <v>10</v>
      </c>
      <c r="D1559" t="s">
        <v>42</v>
      </c>
      <c r="E1559" t="s">
        <v>43</v>
      </c>
      <c r="F1559" t="s">
        <v>22</v>
      </c>
      <c r="G1559" t="s">
        <v>23</v>
      </c>
      <c r="H1559">
        <v>3</v>
      </c>
      <c r="I1559">
        <v>66000</v>
      </c>
    </row>
    <row r="1560" spans="1:9" x14ac:dyDescent="0.3">
      <c r="A1560" s="1">
        <v>46245</v>
      </c>
      <c r="B1560">
        <v>2026</v>
      </c>
      <c r="C1560">
        <v>8</v>
      </c>
      <c r="D1560" t="s">
        <v>46</v>
      </c>
      <c r="E1560" t="s">
        <v>47</v>
      </c>
      <c r="F1560" t="s">
        <v>22</v>
      </c>
      <c r="G1560" t="s">
        <v>23</v>
      </c>
      <c r="H1560">
        <v>4</v>
      </c>
      <c r="I1560">
        <v>88000</v>
      </c>
    </row>
    <row r="1561" spans="1:9" x14ac:dyDescent="0.3">
      <c r="A1561" s="1">
        <v>46179</v>
      </c>
      <c r="B1561">
        <v>2026</v>
      </c>
      <c r="C1561">
        <v>6</v>
      </c>
      <c r="D1561" t="s">
        <v>48</v>
      </c>
      <c r="E1561" t="s">
        <v>43</v>
      </c>
      <c r="F1561" t="s">
        <v>22</v>
      </c>
      <c r="G1561" t="s">
        <v>23</v>
      </c>
      <c r="H1561">
        <v>2</v>
      </c>
      <c r="I1561">
        <v>44000</v>
      </c>
    </row>
    <row r="1562" spans="1:9" x14ac:dyDescent="0.3">
      <c r="A1562" s="1">
        <v>46281</v>
      </c>
      <c r="B1562">
        <v>2026</v>
      </c>
      <c r="C1562">
        <v>9</v>
      </c>
      <c r="D1562" t="s">
        <v>50</v>
      </c>
      <c r="E1562" t="s">
        <v>41</v>
      </c>
      <c r="F1562" t="s">
        <v>22</v>
      </c>
      <c r="G1562" t="s">
        <v>23</v>
      </c>
      <c r="H1562">
        <v>3</v>
      </c>
      <c r="I1562">
        <v>66000</v>
      </c>
    </row>
    <row r="1563" spans="1:9" x14ac:dyDescent="0.3">
      <c r="A1563" s="1">
        <v>46063</v>
      </c>
      <c r="B1563">
        <v>2026</v>
      </c>
      <c r="C1563">
        <v>2</v>
      </c>
      <c r="D1563" t="s">
        <v>40</v>
      </c>
      <c r="E1563" t="s">
        <v>41</v>
      </c>
      <c r="F1563" t="s">
        <v>22</v>
      </c>
      <c r="G1563" t="s">
        <v>23</v>
      </c>
      <c r="H1563">
        <v>1</v>
      </c>
      <c r="I1563">
        <v>22000</v>
      </c>
    </row>
    <row r="1564" spans="1:9" x14ac:dyDescent="0.3">
      <c r="A1564" s="1">
        <v>46024</v>
      </c>
      <c r="B1564">
        <v>2026</v>
      </c>
      <c r="C1564">
        <v>1</v>
      </c>
      <c r="D1564" t="s">
        <v>49</v>
      </c>
      <c r="E1564" t="s">
        <v>47</v>
      </c>
      <c r="F1564" t="s">
        <v>22</v>
      </c>
      <c r="G1564" t="s">
        <v>23</v>
      </c>
      <c r="H1564">
        <v>3</v>
      </c>
      <c r="I1564">
        <v>66000</v>
      </c>
    </row>
    <row r="1565" spans="1:9" x14ac:dyDescent="0.3">
      <c r="A1565" s="1">
        <v>46245</v>
      </c>
      <c r="B1565">
        <v>2026</v>
      </c>
      <c r="C1565">
        <v>8</v>
      </c>
      <c r="D1565" t="s">
        <v>46</v>
      </c>
      <c r="E1565" t="s">
        <v>47</v>
      </c>
      <c r="F1565" t="s">
        <v>22</v>
      </c>
      <c r="G1565" t="s">
        <v>23</v>
      </c>
      <c r="H1565">
        <v>1</v>
      </c>
      <c r="I1565">
        <v>22000</v>
      </c>
    </row>
    <row r="1566" spans="1:9" x14ac:dyDescent="0.3">
      <c r="A1566" s="1">
        <v>46110</v>
      </c>
      <c r="B1566">
        <v>2026</v>
      </c>
      <c r="C1566">
        <v>3</v>
      </c>
      <c r="D1566" t="s">
        <v>42</v>
      </c>
      <c r="E1566" t="s">
        <v>43</v>
      </c>
      <c r="F1566" t="s">
        <v>22</v>
      </c>
      <c r="G1566" t="s">
        <v>23</v>
      </c>
      <c r="H1566">
        <v>4</v>
      </c>
      <c r="I1566">
        <v>88000</v>
      </c>
    </row>
    <row r="1567" spans="1:9" x14ac:dyDescent="0.3">
      <c r="A1567" s="1">
        <v>46047</v>
      </c>
      <c r="B1567">
        <v>2026</v>
      </c>
      <c r="C1567">
        <v>1</v>
      </c>
      <c r="D1567" t="s">
        <v>50</v>
      </c>
      <c r="E1567" t="s">
        <v>41</v>
      </c>
      <c r="F1567" t="s">
        <v>22</v>
      </c>
      <c r="G1567" t="s">
        <v>23</v>
      </c>
      <c r="H1567">
        <v>3</v>
      </c>
      <c r="I1567">
        <v>66000</v>
      </c>
    </row>
    <row r="1568" spans="1:9" x14ac:dyDescent="0.3">
      <c r="A1568" s="1">
        <v>46222</v>
      </c>
      <c r="B1568">
        <v>2026</v>
      </c>
      <c r="C1568">
        <v>7</v>
      </c>
      <c r="D1568" t="s">
        <v>42</v>
      </c>
      <c r="E1568" t="s">
        <v>43</v>
      </c>
      <c r="F1568" t="s">
        <v>22</v>
      </c>
      <c r="G1568" t="s">
        <v>23</v>
      </c>
      <c r="H1568">
        <v>2</v>
      </c>
      <c r="I1568">
        <v>44000</v>
      </c>
    </row>
    <row r="1569" spans="1:9" x14ac:dyDescent="0.3">
      <c r="A1569" s="1">
        <v>46299</v>
      </c>
      <c r="B1569">
        <v>2026</v>
      </c>
      <c r="C1569">
        <v>10</v>
      </c>
      <c r="D1569" t="s">
        <v>42</v>
      </c>
      <c r="E1569" t="s">
        <v>43</v>
      </c>
      <c r="F1569" t="s">
        <v>22</v>
      </c>
      <c r="G1569" t="s">
        <v>23</v>
      </c>
      <c r="H1569">
        <v>3</v>
      </c>
      <c r="I1569">
        <v>66000</v>
      </c>
    </row>
    <row r="1570" spans="1:9" x14ac:dyDescent="0.3">
      <c r="A1570" s="1">
        <v>46052</v>
      </c>
      <c r="B1570">
        <v>2026</v>
      </c>
      <c r="C1570">
        <v>1</v>
      </c>
      <c r="D1570" t="s">
        <v>46</v>
      </c>
      <c r="E1570" t="s">
        <v>47</v>
      </c>
      <c r="F1570" t="s">
        <v>22</v>
      </c>
      <c r="G1570" t="s">
        <v>23</v>
      </c>
      <c r="H1570">
        <v>1</v>
      </c>
      <c r="I1570">
        <v>22000</v>
      </c>
    </row>
    <row r="1571" spans="1:9" x14ac:dyDescent="0.3">
      <c r="A1571" s="1">
        <v>46256</v>
      </c>
      <c r="B1571">
        <v>2026</v>
      </c>
      <c r="C1571">
        <v>8</v>
      </c>
      <c r="D1571" t="s">
        <v>49</v>
      </c>
      <c r="E1571" t="s">
        <v>47</v>
      </c>
      <c r="F1571" t="s">
        <v>22</v>
      </c>
      <c r="G1571" t="s">
        <v>23</v>
      </c>
      <c r="H1571">
        <v>2</v>
      </c>
      <c r="I1571">
        <v>44000</v>
      </c>
    </row>
    <row r="1572" spans="1:9" x14ac:dyDescent="0.3">
      <c r="A1572" s="1">
        <v>46028</v>
      </c>
      <c r="B1572">
        <v>2026</v>
      </c>
      <c r="C1572">
        <v>1</v>
      </c>
      <c r="D1572" t="s">
        <v>49</v>
      </c>
      <c r="E1572" t="s">
        <v>47</v>
      </c>
      <c r="F1572" t="s">
        <v>22</v>
      </c>
      <c r="G1572" t="s">
        <v>23</v>
      </c>
      <c r="H1572">
        <v>1</v>
      </c>
      <c r="I1572">
        <v>22000</v>
      </c>
    </row>
    <row r="1573" spans="1:9" x14ac:dyDescent="0.3">
      <c r="A1573" s="1">
        <v>46248</v>
      </c>
      <c r="B1573">
        <v>2026</v>
      </c>
      <c r="C1573">
        <v>8</v>
      </c>
      <c r="D1573" t="s">
        <v>49</v>
      </c>
      <c r="E1573" t="s">
        <v>47</v>
      </c>
      <c r="F1573" t="s">
        <v>22</v>
      </c>
      <c r="G1573" t="s">
        <v>23</v>
      </c>
      <c r="H1573">
        <v>1</v>
      </c>
      <c r="I1573">
        <v>22000</v>
      </c>
    </row>
    <row r="1574" spans="1:9" x14ac:dyDescent="0.3">
      <c r="A1574" s="1">
        <v>46115</v>
      </c>
      <c r="B1574">
        <v>2026</v>
      </c>
      <c r="C1574">
        <v>4</v>
      </c>
      <c r="D1574" t="s">
        <v>48</v>
      </c>
      <c r="E1574" t="s">
        <v>43</v>
      </c>
      <c r="F1574" t="s">
        <v>22</v>
      </c>
      <c r="G1574" t="s">
        <v>23</v>
      </c>
      <c r="H1574">
        <v>3</v>
      </c>
      <c r="I1574">
        <v>66000</v>
      </c>
    </row>
    <row r="1575" spans="1:9" x14ac:dyDescent="0.3">
      <c r="A1575" s="1">
        <v>46147</v>
      </c>
      <c r="B1575">
        <v>2026</v>
      </c>
      <c r="C1575">
        <v>5</v>
      </c>
      <c r="D1575" t="s">
        <v>40</v>
      </c>
      <c r="E1575" t="s">
        <v>41</v>
      </c>
      <c r="F1575" t="s">
        <v>22</v>
      </c>
      <c r="G1575" t="s">
        <v>23</v>
      </c>
      <c r="H1575">
        <v>2</v>
      </c>
      <c r="I1575">
        <v>44000</v>
      </c>
    </row>
    <row r="1576" spans="1:9" x14ac:dyDescent="0.3">
      <c r="A1576" s="1">
        <v>46114</v>
      </c>
      <c r="B1576">
        <v>2026</v>
      </c>
      <c r="C1576">
        <v>4</v>
      </c>
      <c r="D1576" t="s">
        <v>49</v>
      </c>
      <c r="E1576" t="s">
        <v>47</v>
      </c>
      <c r="F1576" t="s">
        <v>22</v>
      </c>
      <c r="G1576" t="s">
        <v>23</v>
      </c>
      <c r="H1576">
        <v>1</v>
      </c>
      <c r="I1576">
        <v>22000</v>
      </c>
    </row>
    <row r="1577" spans="1:9" x14ac:dyDescent="0.3">
      <c r="A1577" s="1">
        <v>46269</v>
      </c>
      <c r="B1577">
        <v>2026</v>
      </c>
      <c r="C1577">
        <v>9</v>
      </c>
      <c r="D1577" t="s">
        <v>42</v>
      </c>
      <c r="E1577" t="s">
        <v>43</v>
      </c>
      <c r="F1577" t="s">
        <v>22</v>
      </c>
      <c r="G1577" t="s">
        <v>23</v>
      </c>
      <c r="H1577">
        <v>2</v>
      </c>
      <c r="I1577">
        <v>44000</v>
      </c>
    </row>
    <row r="1578" spans="1:9" x14ac:dyDescent="0.3">
      <c r="A1578" s="1">
        <v>46273</v>
      </c>
      <c r="B1578">
        <v>2026</v>
      </c>
      <c r="C1578">
        <v>9</v>
      </c>
      <c r="D1578" t="s">
        <v>48</v>
      </c>
      <c r="E1578" t="s">
        <v>43</v>
      </c>
      <c r="F1578" t="s">
        <v>22</v>
      </c>
      <c r="G1578" t="s">
        <v>23</v>
      </c>
      <c r="H1578">
        <v>4</v>
      </c>
      <c r="I1578">
        <v>88000</v>
      </c>
    </row>
    <row r="1579" spans="1:9" x14ac:dyDescent="0.3">
      <c r="A1579" s="1">
        <v>46048</v>
      </c>
      <c r="B1579">
        <v>2026</v>
      </c>
      <c r="C1579">
        <v>1</v>
      </c>
      <c r="D1579" t="s">
        <v>51</v>
      </c>
      <c r="E1579" t="s">
        <v>45</v>
      </c>
      <c r="F1579" t="s">
        <v>22</v>
      </c>
      <c r="G1579" t="s">
        <v>23</v>
      </c>
      <c r="H1579">
        <v>2</v>
      </c>
      <c r="I1579">
        <v>44000</v>
      </c>
    </row>
    <row r="1580" spans="1:9" x14ac:dyDescent="0.3">
      <c r="A1580" s="1">
        <v>46082</v>
      </c>
      <c r="B1580">
        <v>2026</v>
      </c>
      <c r="C1580">
        <v>3</v>
      </c>
      <c r="D1580" t="s">
        <v>51</v>
      </c>
      <c r="E1580" t="s">
        <v>45</v>
      </c>
      <c r="F1580" t="s">
        <v>22</v>
      </c>
      <c r="G1580" t="s">
        <v>23</v>
      </c>
      <c r="H1580">
        <v>3</v>
      </c>
      <c r="I1580">
        <v>66000</v>
      </c>
    </row>
    <row r="1581" spans="1:9" x14ac:dyDescent="0.3">
      <c r="A1581" s="1">
        <v>46179</v>
      </c>
      <c r="B1581">
        <v>2026</v>
      </c>
      <c r="C1581">
        <v>6</v>
      </c>
      <c r="D1581" t="s">
        <v>50</v>
      </c>
      <c r="E1581" t="s">
        <v>41</v>
      </c>
      <c r="F1581" t="s">
        <v>22</v>
      </c>
      <c r="G1581" t="s">
        <v>23</v>
      </c>
      <c r="H1581">
        <v>4</v>
      </c>
      <c r="I1581">
        <v>88000</v>
      </c>
    </row>
    <row r="1582" spans="1:9" x14ac:dyDescent="0.3">
      <c r="A1582" s="1">
        <v>46155</v>
      </c>
      <c r="B1582">
        <v>2026</v>
      </c>
      <c r="C1582">
        <v>5</v>
      </c>
      <c r="D1582" t="s">
        <v>51</v>
      </c>
      <c r="E1582" t="s">
        <v>45</v>
      </c>
      <c r="F1582" t="s">
        <v>22</v>
      </c>
      <c r="G1582" t="s">
        <v>23</v>
      </c>
      <c r="H1582">
        <v>1</v>
      </c>
      <c r="I1582">
        <v>22000</v>
      </c>
    </row>
    <row r="1583" spans="1:9" x14ac:dyDescent="0.3">
      <c r="A1583" s="1">
        <v>46043</v>
      </c>
      <c r="B1583">
        <v>2026</v>
      </c>
      <c r="C1583">
        <v>1</v>
      </c>
      <c r="D1583" t="s">
        <v>48</v>
      </c>
      <c r="E1583" t="s">
        <v>43</v>
      </c>
      <c r="F1583" t="s">
        <v>22</v>
      </c>
      <c r="G1583" t="s">
        <v>23</v>
      </c>
      <c r="H1583">
        <v>4</v>
      </c>
      <c r="I1583">
        <v>88000</v>
      </c>
    </row>
    <row r="1584" spans="1:9" x14ac:dyDescent="0.3">
      <c r="A1584" s="1">
        <v>46151</v>
      </c>
      <c r="B1584">
        <v>2026</v>
      </c>
      <c r="C1584">
        <v>5</v>
      </c>
      <c r="D1584" t="s">
        <v>49</v>
      </c>
      <c r="E1584" t="s">
        <v>47</v>
      </c>
      <c r="F1584" t="s">
        <v>22</v>
      </c>
      <c r="G1584" t="s">
        <v>23</v>
      </c>
      <c r="H1584">
        <v>4</v>
      </c>
      <c r="I1584">
        <v>88000</v>
      </c>
    </row>
    <row r="1585" spans="1:9" x14ac:dyDescent="0.3">
      <c r="A1585" s="1">
        <v>46247</v>
      </c>
      <c r="B1585">
        <v>2026</v>
      </c>
      <c r="C1585">
        <v>8</v>
      </c>
      <c r="D1585" t="s">
        <v>49</v>
      </c>
      <c r="E1585" t="s">
        <v>47</v>
      </c>
      <c r="F1585" t="s">
        <v>22</v>
      </c>
      <c r="G1585" t="s">
        <v>23</v>
      </c>
      <c r="H1585">
        <v>3</v>
      </c>
      <c r="I1585">
        <v>66000</v>
      </c>
    </row>
    <row r="1586" spans="1:9" x14ac:dyDescent="0.3">
      <c r="A1586" s="1">
        <v>46270</v>
      </c>
      <c r="B1586">
        <v>2026</v>
      </c>
      <c r="C1586">
        <v>9</v>
      </c>
      <c r="D1586" t="s">
        <v>48</v>
      </c>
      <c r="E1586" t="s">
        <v>43</v>
      </c>
      <c r="F1586" t="s">
        <v>22</v>
      </c>
      <c r="G1586" t="s">
        <v>23</v>
      </c>
      <c r="H1586">
        <v>2</v>
      </c>
      <c r="I1586">
        <v>44000</v>
      </c>
    </row>
    <row r="1587" spans="1:9" x14ac:dyDescent="0.3">
      <c r="A1587" s="1">
        <v>46226</v>
      </c>
      <c r="B1587">
        <v>2026</v>
      </c>
      <c r="C1587">
        <v>7</v>
      </c>
      <c r="D1587" t="s">
        <v>49</v>
      </c>
      <c r="E1587" t="s">
        <v>47</v>
      </c>
      <c r="F1587" t="s">
        <v>22</v>
      </c>
      <c r="G1587" t="s">
        <v>23</v>
      </c>
      <c r="H1587">
        <v>3</v>
      </c>
      <c r="I1587">
        <v>66000</v>
      </c>
    </row>
    <row r="1588" spans="1:9" x14ac:dyDescent="0.3">
      <c r="A1588" s="1">
        <v>46299</v>
      </c>
      <c r="B1588">
        <v>2026</v>
      </c>
      <c r="C1588">
        <v>10</v>
      </c>
      <c r="D1588" t="s">
        <v>49</v>
      </c>
      <c r="E1588" t="s">
        <v>47</v>
      </c>
      <c r="F1588" t="s">
        <v>22</v>
      </c>
      <c r="G1588" t="s">
        <v>23</v>
      </c>
      <c r="H1588">
        <v>2</v>
      </c>
      <c r="I1588">
        <v>44000</v>
      </c>
    </row>
    <row r="1589" spans="1:9" x14ac:dyDescent="0.3">
      <c r="A1589" s="1">
        <v>46088</v>
      </c>
      <c r="B1589">
        <v>2026</v>
      </c>
      <c r="C1589">
        <v>3</v>
      </c>
      <c r="D1589" t="s">
        <v>42</v>
      </c>
      <c r="E1589" t="s">
        <v>43</v>
      </c>
      <c r="F1589" t="s">
        <v>22</v>
      </c>
      <c r="G1589" t="s">
        <v>23</v>
      </c>
      <c r="H1589">
        <v>3</v>
      </c>
      <c r="I1589">
        <v>66000</v>
      </c>
    </row>
    <row r="1590" spans="1:9" x14ac:dyDescent="0.3">
      <c r="A1590" s="1">
        <v>46137</v>
      </c>
      <c r="B1590">
        <v>2026</v>
      </c>
      <c r="C1590">
        <v>4</v>
      </c>
      <c r="D1590" t="s">
        <v>44</v>
      </c>
      <c r="E1590" t="s">
        <v>45</v>
      </c>
      <c r="F1590" t="s">
        <v>22</v>
      </c>
      <c r="G1590" t="s">
        <v>23</v>
      </c>
      <c r="H1590">
        <v>1</v>
      </c>
      <c r="I1590">
        <v>22000</v>
      </c>
    </row>
    <row r="1591" spans="1:9" x14ac:dyDescent="0.3">
      <c r="A1591" s="1">
        <v>46131</v>
      </c>
      <c r="B1591">
        <v>2026</v>
      </c>
      <c r="C1591">
        <v>4</v>
      </c>
      <c r="D1591" t="s">
        <v>42</v>
      </c>
      <c r="E1591" t="s">
        <v>43</v>
      </c>
      <c r="F1591" t="s">
        <v>22</v>
      </c>
      <c r="G1591" t="s">
        <v>23</v>
      </c>
      <c r="H1591">
        <v>2</v>
      </c>
      <c r="I1591">
        <v>44000</v>
      </c>
    </row>
    <row r="1592" spans="1:9" x14ac:dyDescent="0.3">
      <c r="A1592" s="1">
        <v>46052</v>
      </c>
      <c r="B1592">
        <v>2026</v>
      </c>
      <c r="C1592">
        <v>1</v>
      </c>
      <c r="D1592" t="s">
        <v>44</v>
      </c>
      <c r="E1592" t="s">
        <v>45</v>
      </c>
      <c r="F1592" t="s">
        <v>22</v>
      </c>
      <c r="G1592" t="s">
        <v>23</v>
      </c>
      <c r="H1592">
        <v>4</v>
      </c>
      <c r="I1592">
        <v>88000</v>
      </c>
    </row>
    <row r="1593" spans="1:9" x14ac:dyDescent="0.3">
      <c r="A1593" s="1">
        <v>46058</v>
      </c>
      <c r="B1593">
        <v>2026</v>
      </c>
      <c r="C1593">
        <v>2</v>
      </c>
      <c r="D1593" t="s">
        <v>50</v>
      </c>
      <c r="E1593" t="s">
        <v>41</v>
      </c>
      <c r="F1593" t="s">
        <v>22</v>
      </c>
      <c r="G1593" t="s">
        <v>23</v>
      </c>
      <c r="H1593">
        <v>1</v>
      </c>
      <c r="I1593">
        <v>22000</v>
      </c>
    </row>
    <row r="1594" spans="1:9" x14ac:dyDescent="0.3">
      <c r="A1594" s="1">
        <v>46065</v>
      </c>
      <c r="B1594">
        <v>2026</v>
      </c>
      <c r="C1594">
        <v>2</v>
      </c>
      <c r="D1594" t="s">
        <v>42</v>
      </c>
      <c r="E1594" t="s">
        <v>43</v>
      </c>
      <c r="F1594" t="s">
        <v>22</v>
      </c>
      <c r="G1594" t="s">
        <v>23</v>
      </c>
      <c r="H1594">
        <v>2</v>
      </c>
      <c r="I1594">
        <v>44000</v>
      </c>
    </row>
    <row r="1595" spans="1:9" x14ac:dyDescent="0.3">
      <c r="A1595" s="1">
        <v>46091</v>
      </c>
      <c r="B1595">
        <v>2026</v>
      </c>
      <c r="C1595">
        <v>3</v>
      </c>
      <c r="D1595" t="s">
        <v>44</v>
      </c>
      <c r="E1595" t="s">
        <v>45</v>
      </c>
      <c r="F1595" t="s">
        <v>22</v>
      </c>
      <c r="G1595" t="s">
        <v>23</v>
      </c>
      <c r="H1595">
        <v>3</v>
      </c>
      <c r="I1595">
        <v>66000</v>
      </c>
    </row>
    <row r="1596" spans="1:9" x14ac:dyDescent="0.3">
      <c r="A1596" s="1">
        <v>46220</v>
      </c>
      <c r="B1596">
        <v>2026</v>
      </c>
      <c r="C1596">
        <v>7</v>
      </c>
      <c r="D1596" t="s">
        <v>49</v>
      </c>
      <c r="E1596" t="s">
        <v>47</v>
      </c>
      <c r="F1596" t="s">
        <v>22</v>
      </c>
      <c r="G1596" t="s">
        <v>23</v>
      </c>
      <c r="H1596">
        <v>2</v>
      </c>
      <c r="I1596">
        <v>44000</v>
      </c>
    </row>
    <row r="1597" spans="1:9" x14ac:dyDescent="0.3">
      <c r="A1597" s="1">
        <v>46157</v>
      </c>
      <c r="B1597">
        <v>2026</v>
      </c>
      <c r="C1597">
        <v>5</v>
      </c>
      <c r="D1597" t="s">
        <v>46</v>
      </c>
      <c r="E1597" t="s">
        <v>47</v>
      </c>
      <c r="F1597" t="s">
        <v>22</v>
      </c>
      <c r="G1597" t="s">
        <v>23</v>
      </c>
      <c r="H1597">
        <v>1</v>
      </c>
      <c r="I1597">
        <v>22000</v>
      </c>
    </row>
    <row r="1598" spans="1:9" x14ac:dyDescent="0.3">
      <c r="A1598" s="1">
        <v>46027</v>
      </c>
      <c r="B1598">
        <v>2026</v>
      </c>
      <c r="C1598">
        <v>1</v>
      </c>
      <c r="D1598" t="s">
        <v>48</v>
      </c>
      <c r="E1598" t="s">
        <v>43</v>
      </c>
      <c r="F1598" t="s">
        <v>22</v>
      </c>
      <c r="G1598" t="s">
        <v>23</v>
      </c>
      <c r="H1598">
        <v>2</v>
      </c>
      <c r="I1598">
        <v>44000</v>
      </c>
    </row>
    <row r="1599" spans="1:9" x14ac:dyDescent="0.3">
      <c r="A1599" s="1">
        <v>46102</v>
      </c>
      <c r="B1599">
        <v>2026</v>
      </c>
      <c r="C1599">
        <v>3</v>
      </c>
      <c r="D1599" t="s">
        <v>40</v>
      </c>
      <c r="E1599" t="s">
        <v>41</v>
      </c>
      <c r="F1599" t="s">
        <v>22</v>
      </c>
      <c r="G1599" t="s">
        <v>23</v>
      </c>
      <c r="H1599">
        <v>1</v>
      </c>
      <c r="I1599">
        <v>22000</v>
      </c>
    </row>
    <row r="1600" spans="1:9" x14ac:dyDescent="0.3">
      <c r="A1600" s="1">
        <v>46193</v>
      </c>
      <c r="B1600">
        <v>2026</v>
      </c>
      <c r="C1600">
        <v>6</v>
      </c>
      <c r="D1600" t="s">
        <v>46</v>
      </c>
      <c r="E1600" t="s">
        <v>47</v>
      </c>
      <c r="F1600" t="s">
        <v>22</v>
      </c>
      <c r="G1600" t="s">
        <v>23</v>
      </c>
      <c r="H1600">
        <v>2</v>
      </c>
      <c r="I1600">
        <v>44000</v>
      </c>
    </row>
    <row r="1601" spans="1:9" x14ac:dyDescent="0.3">
      <c r="A1601" s="1">
        <v>46186</v>
      </c>
      <c r="B1601">
        <v>2026</v>
      </c>
      <c r="C1601">
        <v>6</v>
      </c>
      <c r="D1601" t="s">
        <v>44</v>
      </c>
      <c r="E1601" t="s">
        <v>45</v>
      </c>
      <c r="F1601" t="s">
        <v>22</v>
      </c>
      <c r="G1601" t="s">
        <v>23</v>
      </c>
      <c r="H1601">
        <v>3</v>
      </c>
      <c r="I1601">
        <v>66000</v>
      </c>
    </row>
    <row r="1602" spans="1:9" x14ac:dyDescent="0.3">
      <c r="A1602" s="1">
        <v>46028</v>
      </c>
      <c r="B1602">
        <v>2026</v>
      </c>
      <c r="C1602">
        <v>1</v>
      </c>
      <c r="D1602" t="s">
        <v>48</v>
      </c>
      <c r="E1602" t="s">
        <v>43</v>
      </c>
      <c r="F1602" t="s">
        <v>22</v>
      </c>
      <c r="G1602" t="s">
        <v>23</v>
      </c>
      <c r="H1602">
        <v>3</v>
      </c>
      <c r="I1602">
        <v>66000</v>
      </c>
    </row>
    <row r="1603" spans="1:9" x14ac:dyDescent="0.3">
      <c r="A1603" s="1">
        <v>46191</v>
      </c>
      <c r="B1603">
        <v>2026</v>
      </c>
      <c r="C1603">
        <v>6</v>
      </c>
      <c r="D1603" t="s">
        <v>42</v>
      </c>
      <c r="E1603" t="s">
        <v>43</v>
      </c>
      <c r="F1603" t="s">
        <v>22</v>
      </c>
      <c r="G1603" t="s">
        <v>23</v>
      </c>
      <c r="H1603">
        <v>3</v>
      </c>
      <c r="I1603">
        <v>66000</v>
      </c>
    </row>
    <row r="1604" spans="1:9" x14ac:dyDescent="0.3">
      <c r="A1604" s="1">
        <v>46054</v>
      </c>
      <c r="B1604">
        <v>2026</v>
      </c>
      <c r="C1604">
        <v>2</v>
      </c>
      <c r="D1604" t="s">
        <v>51</v>
      </c>
      <c r="E1604" t="s">
        <v>45</v>
      </c>
      <c r="F1604" t="s">
        <v>22</v>
      </c>
      <c r="G1604" t="s">
        <v>23</v>
      </c>
      <c r="H1604">
        <v>2</v>
      </c>
      <c r="I1604">
        <v>44000</v>
      </c>
    </row>
    <row r="1605" spans="1:9" x14ac:dyDescent="0.3">
      <c r="A1605" s="1">
        <v>46267</v>
      </c>
      <c r="B1605">
        <v>2026</v>
      </c>
      <c r="C1605">
        <v>9</v>
      </c>
      <c r="D1605" t="s">
        <v>42</v>
      </c>
      <c r="E1605" t="s">
        <v>43</v>
      </c>
      <c r="F1605" t="s">
        <v>22</v>
      </c>
      <c r="G1605" t="s">
        <v>23</v>
      </c>
      <c r="H1605">
        <v>3</v>
      </c>
      <c r="I1605">
        <v>66000</v>
      </c>
    </row>
    <row r="1606" spans="1:9" x14ac:dyDescent="0.3">
      <c r="A1606" s="1">
        <v>46092</v>
      </c>
      <c r="B1606">
        <v>2026</v>
      </c>
      <c r="C1606">
        <v>3</v>
      </c>
      <c r="D1606" t="s">
        <v>44</v>
      </c>
      <c r="E1606" t="s">
        <v>45</v>
      </c>
      <c r="F1606" t="s">
        <v>22</v>
      </c>
      <c r="G1606" t="s">
        <v>23</v>
      </c>
      <c r="H1606">
        <v>2</v>
      </c>
      <c r="I1606">
        <v>44000</v>
      </c>
    </row>
    <row r="1607" spans="1:9" x14ac:dyDescent="0.3">
      <c r="A1607" s="1">
        <v>46277</v>
      </c>
      <c r="B1607">
        <v>2026</v>
      </c>
      <c r="C1607">
        <v>9</v>
      </c>
      <c r="D1607" t="s">
        <v>49</v>
      </c>
      <c r="E1607" t="s">
        <v>47</v>
      </c>
      <c r="F1607" t="s">
        <v>22</v>
      </c>
      <c r="G1607" t="s">
        <v>23</v>
      </c>
      <c r="H1607">
        <v>3</v>
      </c>
      <c r="I1607">
        <v>66000</v>
      </c>
    </row>
    <row r="1608" spans="1:9" x14ac:dyDescent="0.3">
      <c r="A1608" s="1">
        <v>46183</v>
      </c>
      <c r="B1608">
        <v>2026</v>
      </c>
      <c r="C1608">
        <v>6</v>
      </c>
      <c r="D1608" t="s">
        <v>46</v>
      </c>
      <c r="E1608" t="s">
        <v>47</v>
      </c>
      <c r="F1608" t="s">
        <v>22</v>
      </c>
      <c r="G1608" t="s">
        <v>23</v>
      </c>
      <c r="H1608">
        <v>2</v>
      </c>
      <c r="I1608">
        <v>44000</v>
      </c>
    </row>
    <row r="1609" spans="1:9" x14ac:dyDescent="0.3">
      <c r="A1609" s="1">
        <v>46307</v>
      </c>
      <c r="B1609">
        <v>2026</v>
      </c>
      <c r="C1609">
        <v>10</v>
      </c>
      <c r="D1609" t="s">
        <v>44</v>
      </c>
      <c r="E1609" t="s">
        <v>45</v>
      </c>
      <c r="F1609" t="s">
        <v>22</v>
      </c>
      <c r="G1609" t="s">
        <v>23</v>
      </c>
      <c r="H1609">
        <v>4</v>
      </c>
      <c r="I1609">
        <v>88000</v>
      </c>
    </row>
    <row r="1610" spans="1:9" x14ac:dyDescent="0.3">
      <c r="A1610" s="1">
        <v>46284</v>
      </c>
      <c r="B1610">
        <v>2026</v>
      </c>
      <c r="C1610">
        <v>9</v>
      </c>
      <c r="D1610" t="s">
        <v>46</v>
      </c>
      <c r="E1610" t="s">
        <v>47</v>
      </c>
      <c r="F1610" t="s">
        <v>22</v>
      </c>
      <c r="G1610" t="s">
        <v>23</v>
      </c>
      <c r="H1610">
        <v>1</v>
      </c>
      <c r="I1610">
        <v>22000</v>
      </c>
    </row>
    <row r="1611" spans="1:9" x14ac:dyDescent="0.3">
      <c r="A1611" s="1">
        <v>46102</v>
      </c>
      <c r="B1611">
        <v>2026</v>
      </c>
      <c r="C1611">
        <v>3</v>
      </c>
      <c r="D1611" t="s">
        <v>42</v>
      </c>
      <c r="E1611" t="s">
        <v>43</v>
      </c>
      <c r="F1611" t="s">
        <v>22</v>
      </c>
      <c r="G1611" t="s">
        <v>23</v>
      </c>
      <c r="H1611">
        <v>4</v>
      </c>
      <c r="I1611">
        <v>88000</v>
      </c>
    </row>
    <row r="1612" spans="1:9" x14ac:dyDescent="0.3">
      <c r="A1612" s="1">
        <v>46254</v>
      </c>
      <c r="B1612">
        <v>2026</v>
      </c>
      <c r="C1612">
        <v>8</v>
      </c>
      <c r="D1612" t="s">
        <v>49</v>
      </c>
      <c r="E1612" t="s">
        <v>47</v>
      </c>
      <c r="F1612" t="s">
        <v>22</v>
      </c>
      <c r="G1612" t="s">
        <v>23</v>
      </c>
      <c r="H1612">
        <v>1</v>
      </c>
      <c r="I1612">
        <v>22000</v>
      </c>
    </row>
    <row r="1613" spans="1:9" x14ac:dyDescent="0.3">
      <c r="A1613" s="1">
        <v>46246</v>
      </c>
      <c r="B1613">
        <v>2026</v>
      </c>
      <c r="C1613">
        <v>8</v>
      </c>
      <c r="D1613" t="s">
        <v>44</v>
      </c>
      <c r="E1613" t="s">
        <v>45</v>
      </c>
      <c r="F1613" t="s">
        <v>22</v>
      </c>
      <c r="G1613" t="s">
        <v>23</v>
      </c>
      <c r="H1613">
        <v>2</v>
      </c>
      <c r="I1613">
        <v>44000</v>
      </c>
    </row>
    <row r="1614" spans="1:9" x14ac:dyDescent="0.3">
      <c r="A1614" s="1">
        <v>46288</v>
      </c>
      <c r="B1614">
        <v>2026</v>
      </c>
      <c r="C1614">
        <v>9</v>
      </c>
      <c r="D1614" t="s">
        <v>51</v>
      </c>
      <c r="E1614" t="s">
        <v>45</v>
      </c>
      <c r="F1614" t="s">
        <v>22</v>
      </c>
      <c r="G1614" t="s">
        <v>23</v>
      </c>
      <c r="H1614">
        <v>4</v>
      </c>
      <c r="I1614">
        <v>88000</v>
      </c>
    </row>
    <row r="1615" spans="1:9" x14ac:dyDescent="0.3">
      <c r="A1615" s="1">
        <v>46054</v>
      </c>
      <c r="B1615">
        <v>2026</v>
      </c>
      <c r="C1615">
        <v>2</v>
      </c>
      <c r="D1615" t="s">
        <v>46</v>
      </c>
      <c r="E1615" t="s">
        <v>47</v>
      </c>
      <c r="F1615" t="s">
        <v>22</v>
      </c>
      <c r="G1615" t="s">
        <v>23</v>
      </c>
      <c r="H1615">
        <v>3</v>
      </c>
      <c r="I1615">
        <v>66000</v>
      </c>
    </row>
    <row r="1616" spans="1:9" x14ac:dyDescent="0.3">
      <c r="A1616" s="1">
        <v>46179</v>
      </c>
      <c r="B1616">
        <v>2026</v>
      </c>
      <c r="C1616">
        <v>6</v>
      </c>
      <c r="D1616" t="s">
        <v>40</v>
      </c>
      <c r="E1616" t="s">
        <v>41</v>
      </c>
      <c r="F1616" t="s">
        <v>22</v>
      </c>
      <c r="G1616" t="s">
        <v>23</v>
      </c>
      <c r="H1616">
        <v>4</v>
      </c>
      <c r="I1616">
        <v>88000</v>
      </c>
    </row>
    <row r="1617" spans="1:9" x14ac:dyDescent="0.3">
      <c r="A1617" s="1">
        <v>46272</v>
      </c>
      <c r="B1617">
        <v>2026</v>
      </c>
      <c r="C1617">
        <v>9</v>
      </c>
      <c r="D1617" t="s">
        <v>50</v>
      </c>
      <c r="E1617" t="s">
        <v>41</v>
      </c>
      <c r="F1617" t="s">
        <v>22</v>
      </c>
      <c r="G1617" t="s">
        <v>23</v>
      </c>
      <c r="H1617">
        <v>2</v>
      </c>
      <c r="I1617">
        <v>44000</v>
      </c>
    </row>
    <row r="1618" spans="1:9" x14ac:dyDescent="0.3">
      <c r="A1618" s="1">
        <v>46077</v>
      </c>
      <c r="B1618">
        <v>2026</v>
      </c>
      <c r="C1618">
        <v>2</v>
      </c>
      <c r="D1618" t="s">
        <v>48</v>
      </c>
      <c r="E1618" t="s">
        <v>43</v>
      </c>
      <c r="F1618" t="s">
        <v>22</v>
      </c>
      <c r="G1618" t="s">
        <v>23</v>
      </c>
      <c r="H1618">
        <v>1</v>
      </c>
      <c r="I1618">
        <v>22000</v>
      </c>
    </row>
    <row r="1619" spans="1:9" x14ac:dyDescent="0.3">
      <c r="A1619" s="1">
        <v>46166</v>
      </c>
      <c r="B1619">
        <v>2026</v>
      </c>
      <c r="C1619">
        <v>5</v>
      </c>
      <c r="D1619" t="s">
        <v>49</v>
      </c>
      <c r="E1619" t="s">
        <v>47</v>
      </c>
      <c r="F1619" t="s">
        <v>22</v>
      </c>
      <c r="G1619" t="s">
        <v>23</v>
      </c>
      <c r="H1619">
        <v>1</v>
      </c>
      <c r="I1619">
        <v>22000</v>
      </c>
    </row>
    <row r="1620" spans="1:9" x14ac:dyDescent="0.3">
      <c r="A1620" s="1">
        <v>46116</v>
      </c>
      <c r="B1620">
        <v>2026</v>
      </c>
      <c r="C1620">
        <v>4</v>
      </c>
      <c r="D1620" t="s">
        <v>50</v>
      </c>
      <c r="E1620" t="s">
        <v>41</v>
      </c>
      <c r="F1620" t="s">
        <v>22</v>
      </c>
      <c r="G1620" t="s">
        <v>23</v>
      </c>
      <c r="H1620">
        <v>2</v>
      </c>
      <c r="I1620">
        <v>44000</v>
      </c>
    </row>
    <row r="1621" spans="1:9" x14ac:dyDescent="0.3">
      <c r="A1621" s="1">
        <v>46113</v>
      </c>
      <c r="B1621">
        <v>2026</v>
      </c>
      <c r="C1621">
        <v>4</v>
      </c>
      <c r="D1621" t="s">
        <v>46</v>
      </c>
      <c r="E1621" t="s">
        <v>47</v>
      </c>
      <c r="F1621" t="s">
        <v>22</v>
      </c>
      <c r="G1621" t="s">
        <v>23</v>
      </c>
      <c r="H1621">
        <v>3</v>
      </c>
      <c r="I1621">
        <v>66000</v>
      </c>
    </row>
    <row r="1622" spans="1:9" x14ac:dyDescent="0.3">
      <c r="A1622" s="1">
        <v>46061</v>
      </c>
      <c r="B1622">
        <v>2026</v>
      </c>
      <c r="C1622">
        <v>2</v>
      </c>
      <c r="D1622" t="s">
        <v>48</v>
      </c>
      <c r="E1622" t="s">
        <v>43</v>
      </c>
      <c r="F1622" t="s">
        <v>22</v>
      </c>
      <c r="G1622" t="s">
        <v>23</v>
      </c>
      <c r="H1622">
        <v>4</v>
      </c>
      <c r="I1622">
        <v>88000</v>
      </c>
    </row>
    <row r="1623" spans="1:9" x14ac:dyDescent="0.3">
      <c r="A1623" s="1">
        <v>46147</v>
      </c>
      <c r="B1623">
        <v>2026</v>
      </c>
      <c r="C1623">
        <v>5</v>
      </c>
      <c r="D1623" t="s">
        <v>40</v>
      </c>
      <c r="E1623" t="s">
        <v>41</v>
      </c>
      <c r="F1623" t="s">
        <v>22</v>
      </c>
      <c r="G1623" t="s">
        <v>23</v>
      </c>
      <c r="H1623">
        <v>2</v>
      </c>
      <c r="I1623">
        <v>44000</v>
      </c>
    </row>
    <row r="1624" spans="1:9" x14ac:dyDescent="0.3">
      <c r="A1624" s="1">
        <v>46058</v>
      </c>
      <c r="B1624">
        <v>2026</v>
      </c>
      <c r="C1624">
        <v>2</v>
      </c>
      <c r="D1624" t="s">
        <v>40</v>
      </c>
      <c r="E1624" t="s">
        <v>41</v>
      </c>
      <c r="F1624" t="s">
        <v>22</v>
      </c>
      <c r="G1624" t="s">
        <v>23</v>
      </c>
      <c r="H1624">
        <v>4</v>
      </c>
      <c r="I1624">
        <v>88000</v>
      </c>
    </row>
    <row r="1625" spans="1:9" x14ac:dyDescent="0.3">
      <c r="A1625" s="1">
        <v>46055</v>
      </c>
      <c r="B1625">
        <v>2026</v>
      </c>
      <c r="C1625">
        <v>2</v>
      </c>
      <c r="D1625" t="s">
        <v>40</v>
      </c>
      <c r="E1625" t="s">
        <v>41</v>
      </c>
      <c r="F1625" t="s">
        <v>22</v>
      </c>
      <c r="G1625" t="s">
        <v>23</v>
      </c>
      <c r="H1625">
        <v>1</v>
      </c>
      <c r="I1625">
        <v>22000</v>
      </c>
    </row>
    <row r="1626" spans="1:9" x14ac:dyDescent="0.3">
      <c r="A1626" s="1">
        <v>46032</v>
      </c>
      <c r="B1626">
        <v>2026</v>
      </c>
      <c r="C1626">
        <v>1</v>
      </c>
      <c r="D1626" t="s">
        <v>48</v>
      </c>
      <c r="E1626" t="s">
        <v>43</v>
      </c>
      <c r="F1626" t="s">
        <v>22</v>
      </c>
      <c r="G1626" t="s">
        <v>23</v>
      </c>
      <c r="H1626">
        <v>4</v>
      </c>
      <c r="I1626">
        <v>88000</v>
      </c>
    </row>
    <row r="1627" spans="1:9" x14ac:dyDescent="0.3">
      <c r="A1627" s="1">
        <v>46169</v>
      </c>
      <c r="B1627">
        <v>2026</v>
      </c>
      <c r="C1627">
        <v>5</v>
      </c>
      <c r="D1627" t="s">
        <v>40</v>
      </c>
      <c r="E1627" t="s">
        <v>41</v>
      </c>
      <c r="F1627" t="s">
        <v>22</v>
      </c>
      <c r="G1627" t="s">
        <v>23</v>
      </c>
      <c r="H1627">
        <v>2</v>
      </c>
      <c r="I1627">
        <v>44000</v>
      </c>
    </row>
    <row r="1628" spans="1:9" x14ac:dyDescent="0.3">
      <c r="A1628" s="1">
        <v>46043</v>
      </c>
      <c r="B1628">
        <v>2026</v>
      </c>
      <c r="C1628">
        <v>1</v>
      </c>
      <c r="D1628" t="s">
        <v>50</v>
      </c>
      <c r="E1628" t="s">
        <v>41</v>
      </c>
      <c r="F1628" t="s">
        <v>22</v>
      </c>
      <c r="G1628" t="s">
        <v>23</v>
      </c>
      <c r="H1628">
        <v>2</v>
      </c>
      <c r="I1628">
        <v>44000</v>
      </c>
    </row>
    <row r="1629" spans="1:9" x14ac:dyDescent="0.3">
      <c r="A1629" s="1">
        <v>46048</v>
      </c>
      <c r="B1629">
        <v>2026</v>
      </c>
      <c r="C1629">
        <v>1</v>
      </c>
      <c r="D1629" t="s">
        <v>50</v>
      </c>
      <c r="E1629" t="s">
        <v>41</v>
      </c>
      <c r="F1629" t="s">
        <v>22</v>
      </c>
      <c r="G1629" t="s">
        <v>23</v>
      </c>
      <c r="H1629">
        <v>3</v>
      </c>
      <c r="I1629">
        <v>66000</v>
      </c>
    </row>
    <row r="1630" spans="1:9" x14ac:dyDescent="0.3">
      <c r="A1630" s="1">
        <v>46059</v>
      </c>
      <c r="B1630">
        <v>2026</v>
      </c>
      <c r="C1630">
        <v>2</v>
      </c>
      <c r="D1630" t="s">
        <v>49</v>
      </c>
      <c r="E1630" t="s">
        <v>47</v>
      </c>
      <c r="F1630" t="s">
        <v>22</v>
      </c>
      <c r="G1630" t="s">
        <v>23</v>
      </c>
      <c r="H1630">
        <v>3</v>
      </c>
      <c r="I1630">
        <v>66000</v>
      </c>
    </row>
    <row r="1631" spans="1:9" x14ac:dyDescent="0.3">
      <c r="A1631" s="1">
        <v>46039</v>
      </c>
      <c r="B1631">
        <v>2026</v>
      </c>
      <c r="C1631">
        <v>1</v>
      </c>
      <c r="D1631" t="s">
        <v>48</v>
      </c>
      <c r="E1631" t="s">
        <v>43</v>
      </c>
      <c r="F1631" t="s">
        <v>22</v>
      </c>
      <c r="G1631" t="s">
        <v>23</v>
      </c>
      <c r="H1631">
        <v>3</v>
      </c>
      <c r="I1631">
        <v>66000</v>
      </c>
    </row>
    <row r="1632" spans="1:9" x14ac:dyDescent="0.3">
      <c r="A1632" s="1">
        <v>46234</v>
      </c>
      <c r="B1632">
        <v>2026</v>
      </c>
      <c r="C1632">
        <v>7</v>
      </c>
      <c r="D1632" t="s">
        <v>51</v>
      </c>
      <c r="E1632" t="s">
        <v>45</v>
      </c>
      <c r="F1632" t="s">
        <v>22</v>
      </c>
      <c r="G1632" t="s">
        <v>23</v>
      </c>
      <c r="H1632">
        <v>3</v>
      </c>
      <c r="I1632">
        <v>66000</v>
      </c>
    </row>
    <row r="1633" spans="1:9" x14ac:dyDescent="0.3">
      <c r="A1633" s="1">
        <v>46222</v>
      </c>
      <c r="B1633">
        <v>2026</v>
      </c>
      <c r="C1633">
        <v>7</v>
      </c>
      <c r="D1633" t="s">
        <v>42</v>
      </c>
      <c r="E1633" t="s">
        <v>43</v>
      </c>
      <c r="F1633" t="s">
        <v>22</v>
      </c>
      <c r="G1633" t="s">
        <v>23</v>
      </c>
      <c r="H1633">
        <v>2</v>
      </c>
      <c r="I1633">
        <v>44000</v>
      </c>
    </row>
    <row r="1634" spans="1:9" x14ac:dyDescent="0.3">
      <c r="A1634" s="1">
        <v>46269</v>
      </c>
      <c r="B1634">
        <v>2026</v>
      </c>
      <c r="C1634">
        <v>9</v>
      </c>
      <c r="D1634" t="s">
        <v>46</v>
      </c>
      <c r="E1634" t="s">
        <v>47</v>
      </c>
      <c r="F1634" t="s">
        <v>22</v>
      </c>
      <c r="G1634" t="s">
        <v>23</v>
      </c>
      <c r="H1634">
        <v>1</v>
      </c>
      <c r="I1634">
        <v>22000</v>
      </c>
    </row>
    <row r="1635" spans="1:9" x14ac:dyDescent="0.3">
      <c r="A1635" s="1">
        <v>46132</v>
      </c>
      <c r="B1635">
        <v>2026</v>
      </c>
      <c r="C1635">
        <v>4</v>
      </c>
      <c r="D1635" t="s">
        <v>51</v>
      </c>
      <c r="E1635" t="s">
        <v>45</v>
      </c>
      <c r="F1635" t="s">
        <v>22</v>
      </c>
      <c r="G1635" t="s">
        <v>23</v>
      </c>
      <c r="H1635">
        <v>2</v>
      </c>
      <c r="I1635">
        <v>44000</v>
      </c>
    </row>
    <row r="1636" spans="1:9" x14ac:dyDescent="0.3">
      <c r="A1636" s="1">
        <v>46178</v>
      </c>
      <c r="B1636">
        <v>2026</v>
      </c>
      <c r="C1636">
        <v>6</v>
      </c>
      <c r="D1636" t="s">
        <v>46</v>
      </c>
      <c r="E1636" t="s">
        <v>47</v>
      </c>
      <c r="F1636" t="s">
        <v>22</v>
      </c>
      <c r="G1636" t="s">
        <v>23</v>
      </c>
      <c r="H1636">
        <v>1</v>
      </c>
      <c r="I1636">
        <v>22000</v>
      </c>
    </row>
    <row r="1637" spans="1:9" x14ac:dyDescent="0.3">
      <c r="A1637" s="1">
        <v>46308</v>
      </c>
      <c r="B1637">
        <v>2026</v>
      </c>
      <c r="C1637">
        <v>10</v>
      </c>
      <c r="D1637" t="s">
        <v>44</v>
      </c>
      <c r="E1637" t="s">
        <v>45</v>
      </c>
      <c r="F1637" t="s">
        <v>22</v>
      </c>
      <c r="G1637" t="s">
        <v>23</v>
      </c>
      <c r="H1637">
        <v>1</v>
      </c>
      <c r="I1637">
        <v>22000</v>
      </c>
    </row>
    <row r="1638" spans="1:9" x14ac:dyDescent="0.3">
      <c r="A1638" s="1">
        <v>46075</v>
      </c>
      <c r="B1638">
        <v>2026</v>
      </c>
      <c r="C1638">
        <v>2</v>
      </c>
      <c r="D1638" t="s">
        <v>46</v>
      </c>
      <c r="E1638" t="s">
        <v>47</v>
      </c>
      <c r="F1638" t="s">
        <v>22</v>
      </c>
      <c r="G1638" t="s">
        <v>23</v>
      </c>
      <c r="H1638">
        <v>4</v>
      </c>
      <c r="I1638">
        <v>88000</v>
      </c>
    </row>
    <row r="1639" spans="1:9" x14ac:dyDescent="0.3">
      <c r="A1639" s="1">
        <v>46145</v>
      </c>
      <c r="B1639">
        <v>2026</v>
      </c>
      <c r="C1639">
        <v>5</v>
      </c>
      <c r="D1639" t="s">
        <v>40</v>
      </c>
      <c r="E1639" t="s">
        <v>41</v>
      </c>
      <c r="F1639" t="s">
        <v>22</v>
      </c>
      <c r="G1639" t="s">
        <v>23</v>
      </c>
      <c r="H1639">
        <v>3</v>
      </c>
      <c r="I1639">
        <v>66000</v>
      </c>
    </row>
    <row r="1640" spans="1:9" x14ac:dyDescent="0.3">
      <c r="A1640" s="1">
        <v>46030</v>
      </c>
      <c r="B1640">
        <v>2026</v>
      </c>
      <c r="C1640">
        <v>1</v>
      </c>
      <c r="D1640" t="s">
        <v>42</v>
      </c>
      <c r="E1640" t="s">
        <v>43</v>
      </c>
      <c r="F1640" t="s">
        <v>22</v>
      </c>
      <c r="G1640" t="s">
        <v>23</v>
      </c>
      <c r="H1640">
        <v>4</v>
      </c>
      <c r="I1640">
        <v>88000</v>
      </c>
    </row>
    <row r="1641" spans="1:9" x14ac:dyDescent="0.3">
      <c r="A1641" s="1">
        <v>46294</v>
      </c>
      <c r="B1641">
        <v>2026</v>
      </c>
      <c r="C1641">
        <v>9</v>
      </c>
      <c r="D1641" t="s">
        <v>42</v>
      </c>
      <c r="E1641" t="s">
        <v>43</v>
      </c>
      <c r="F1641" t="s">
        <v>22</v>
      </c>
      <c r="G1641" t="s">
        <v>23</v>
      </c>
      <c r="H1641">
        <v>2</v>
      </c>
      <c r="I1641">
        <v>44000</v>
      </c>
    </row>
    <row r="1642" spans="1:9" x14ac:dyDescent="0.3">
      <c r="A1642" s="1">
        <v>46210</v>
      </c>
      <c r="B1642">
        <v>2026</v>
      </c>
      <c r="C1642">
        <v>7</v>
      </c>
      <c r="D1642" t="s">
        <v>42</v>
      </c>
      <c r="E1642" t="s">
        <v>43</v>
      </c>
      <c r="F1642" t="s">
        <v>22</v>
      </c>
      <c r="G1642" t="s">
        <v>23</v>
      </c>
      <c r="H1642">
        <v>2</v>
      </c>
      <c r="I1642">
        <v>44000</v>
      </c>
    </row>
    <row r="1643" spans="1:9" x14ac:dyDescent="0.3">
      <c r="A1643" s="1">
        <v>46245</v>
      </c>
      <c r="B1643">
        <v>2026</v>
      </c>
      <c r="C1643">
        <v>8</v>
      </c>
      <c r="D1643" t="s">
        <v>46</v>
      </c>
      <c r="E1643" t="s">
        <v>47</v>
      </c>
      <c r="F1643" t="s">
        <v>22</v>
      </c>
      <c r="G1643" t="s">
        <v>23</v>
      </c>
      <c r="H1643">
        <v>3</v>
      </c>
      <c r="I1643">
        <v>66000</v>
      </c>
    </row>
    <row r="1644" spans="1:9" x14ac:dyDescent="0.3">
      <c r="A1644" s="1">
        <v>46315</v>
      </c>
      <c r="B1644">
        <v>2026</v>
      </c>
      <c r="C1644">
        <v>10</v>
      </c>
      <c r="D1644" t="s">
        <v>49</v>
      </c>
      <c r="E1644" t="s">
        <v>47</v>
      </c>
      <c r="F1644" t="s">
        <v>22</v>
      </c>
      <c r="G1644" t="s">
        <v>23</v>
      </c>
      <c r="H1644">
        <v>1</v>
      </c>
      <c r="I1644">
        <v>22000</v>
      </c>
    </row>
    <row r="1645" spans="1:9" x14ac:dyDescent="0.3">
      <c r="A1645" s="1">
        <v>46314</v>
      </c>
      <c r="B1645">
        <v>2026</v>
      </c>
      <c r="C1645">
        <v>10</v>
      </c>
      <c r="D1645" t="s">
        <v>48</v>
      </c>
      <c r="E1645" t="s">
        <v>43</v>
      </c>
      <c r="F1645" t="s">
        <v>22</v>
      </c>
      <c r="G1645" t="s">
        <v>23</v>
      </c>
      <c r="H1645">
        <v>4</v>
      </c>
      <c r="I1645">
        <v>88000</v>
      </c>
    </row>
    <row r="1646" spans="1:9" x14ac:dyDescent="0.3">
      <c r="A1646" s="1">
        <v>46128</v>
      </c>
      <c r="B1646">
        <v>2026</v>
      </c>
      <c r="C1646">
        <v>4</v>
      </c>
      <c r="D1646" t="s">
        <v>50</v>
      </c>
      <c r="E1646" t="s">
        <v>41</v>
      </c>
      <c r="F1646" t="s">
        <v>22</v>
      </c>
      <c r="G1646" t="s">
        <v>23</v>
      </c>
      <c r="H1646">
        <v>3</v>
      </c>
      <c r="I1646">
        <v>66000</v>
      </c>
    </row>
    <row r="1647" spans="1:9" x14ac:dyDescent="0.3">
      <c r="A1647" s="1">
        <v>46130</v>
      </c>
      <c r="B1647">
        <v>2026</v>
      </c>
      <c r="C1647">
        <v>4</v>
      </c>
      <c r="D1647" t="s">
        <v>48</v>
      </c>
      <c r="E1647" t="s">
        <v>43</v>
      </c>
      <c r="F1647" t="s">
        <v>22</v>
      </c>
      <c r="G1647" t="s">
        <v>23</v>
      </c>
      <c r="H1647">
        <v>1</v>
      </c>
      <c r="I1647">
        <v>22000</v>
      </c>
    </row>
    <row r="1648" spans="1:9" x14ac:dyDescent="0.3">
      <c r="A1648" s="1">
        <v>46192</v>
      </c>
      <c r="B1648">
        <v>2026</v>
      </c>
      <c r="C1648">
        <v>6</v>
      </c>
      <c r="D1648" t="s">
        <v>51</v>
      </c>
      <c r="E1648" t="s">
        <v>45</v>
      </c>
      <c r="F1648" t="s">
        <v>22</v>
      </c>
      <c r="G1648" t="s">
        <v>23</v>
      </c>
      <c r="H1648">
        <v>3</v>
      </c>
      <c r="I1648">
        <v>66000</v>
      </c>
    </row>
    <row r="1649" spans="1:9" x14ac:dyDescent="0.3">
      <c r="A1649" s="1">
        <v>46067</v>
      </c>
      <c r="B1649">
        <v>2026</v>
      </c>
      <c r="C1649">
        <v>2</v>
      </c>
      <c r="D1649" t="s">
        <v>46</v>
      </c>
      <c r="E1649" t="s">
        <v>47</v>
      </c>
      <c r="F1649" t="s">
        <v>22</v>
      </c>
      <c r="G1649" t="s">
        <v>23</v>
      </c>
      <c r="H1649">
        <v>3</v>
      </c>
      <c r="I1649">
        <v>66000</v>
      </c>
    </row>
    <row r="1650" spans="1:9" x14ac:dyDescent="0.3">
      <c r="A1650" s="1">
        <v>46065</v>
      </c>
      <c r="B1650">
        <v>2026</v>
      </c>
      <c r="C1650">
        <v>2</v>
      </c>
      <c r="D1650" t="s">
        <v>42</v>
      </c>
      <c r="E1650" t="s">
        <v>43</v>
      </c>
      <c r="F1650" t="s">
        <v>22</v>
      </c>
      <c r="G1650" t="s">
        <v>23</v>
      </c>
      <c r="H1650">
        <v>4</v>
      </c>
      <c r="I1650">
        <v>88000</v>
      </c>
    </row>
    <row r="1651" spans="1:9" x14ac:dyDescent="0.3">
      <c r="A1651" s="1">
        <v>46180</v>
      </c>
      <c r="B1651">
        <v>2026</v>
      </c>
      <c r="C1651">
        <v>6</v>
      </c>
      <c r="D1651" t="s">
        <v>48</v>
      </c>
      <c r="E1651" t="s">
        <v>43</v>
      </c>
      <c r="F1651" t="s">
        <v>22</v>
      </c>
      <c r="G1651" t="s">
        <v>23</v>
      </c>
      <c r="H1651">
        <v>3</v>
      </c>
      <c r="I1651">
        <v>66000</v>
      </c>
    </row>
    <row r="1652" spans="1:9" x14ac:dyDescent="0.3">
      <c r="A1652" s="1">
        <v>46119</v>
      </c>
      <c r="B1652">
        <v>2026</v>
      </c>
      <c r="C1652">
        <v>4</v>
      </c>
      <c r="D1652" t="s">
        <v>46</v>
      </c>
      <c r="E1652" t="s">
        <v>47</v>
      </c>
      <c r="F1652" t="s">
        <v>22</v>
      </c>
      <c r="G1652" t="s">
        <v>23</v>
      </c>
      <c r="H1652">
        <v>1</v>
      </c>
      <c r="I1652">
        <v>22000</v>
      </c>
    </row>
    <row r="1653" spans="1:9" x14ac:dyDescent="0.3">
      <c r="A1653" s="1">
        <v>46024</v>
      </c>
      <c r="B1653">
        <v>2026</v>
      </c>
      <c r="C1653">
        <v>1</v>
      </c>
      <c r="D1653" t="s">
        <v>46</v>
      </c>
      <c r="E1653" t="s">
        <v>47</v>
      </c>
      <c r="F1653" t="s">
        <v>22</v>
      </c>
      <c r="G1653" t="s">
        <v>23</v>
      </c>
      <c r="H1653">
        <v>3</v>
      </c>
      <c r="I1653">
        <v>66000</v>
      </c>
    </row>
    <row r="1654" spans="1:9" x14ac:dyDescent="0.3">
      <c r="A1654" s="1">
        <v>46197</v>
      </c>
      <c r="B1654">
        <v>2026</v>
      </c>
      <c r="C1654">
        <v>6</v>
      </c>
      <c r="D1654" t="s">
        <v>51</v>
      </c>
      <c r="E1654" t="s">
        <v>45</v>
      </c>
      <c r="F1654" t="s">
        <v>22</v>
      </c>
      <c r="G1654" t="s">
        <v>23</v>
      </c>
      <c r="H1654">
        <v>1</v>
      </c>
      <c r="I1654">
        <v>22000</v>
      </c>
    </row>
    <row r="1655" spans="1:9" x14ac:dyDescent="0.3">
      <c r="A1655" s="1">
        <v>46226</v>
      </c>
      <c r="B1655">
        <v>2026</v>
      </c>
      <c r="C1655">
        <v>7</v>
      </c>
      <c r="D1655" t="s">
        <v>50</v>
      </c>
      <c r="E1655" t="s">
        <v>41</v>
      </c>
      <c r="F1655" t="s">
        <v>22</v>
      </c>
      <c r="G1655" t="s">
        <v>23</v>
      </c>
      <c r="H1655">
        <v>3</v>
      </c>
      <c r="I1655">
        <v>66000</v>
      </c>
    </row>
    <row r="1656" spans="1:9" x14ac:dyDescent="0.3">
      <c r="A1656" s="1">
        <v>46298</v>
      </c>
      <c r="B1656">
        <v>2026</v>
      </c>
      <c r="C1656">
        <v>10</v>
      </c>
      <c r="D1656" t="s">
        <v>42</v>
      </c>
      <c r="E1656" t="s">
        <v>43</v>
      </c>
      <c r="F1656" t="s">
        <v>22</v>
      </c>
      <c r="G1656" t="s">
        <v>23</v>
      </c>
      <c r="H1656">
        <v>2</v>
      </c>
      <c r="I1656">
        <v>44000</v>
      </c>
    </row>
    <row r="1657" spans="1:9" x14ac:dyDescent="0.3">
      <c r="A1657" s="1">
        <v>46123</v>
      </c>
      <c r="B1657">
        <v>2026</v>
      </c>
      <c r="C1657">
        <v>4</v>
      </c>
      <c r="D1657" t="s">
        <v>44</v>
      </c>
      <c r="E1657" t="s">
        <v>45</v>
      </c>
      <c r="F1657" t="s">
        <v>22</v>
      </c>
      <c r="G1657" t="s">
        <v>23</v>
      </c>
      <c r="H1657">
        <v>1</v>
      </c>
      <c r="I1657">
        <v>22000</v>
      </c>
    </row>
    <row r="1658" spans="1:9" x14ac:dyDescent="0.3">
      <c r="A1658" s="1">
        <v>46277</v>
      </c>
      <c r="B1658">
        <v>2026</v>
      </c>
      <c r="C1658">
        <v>9</v>
      </c>
      <c r="D1658" t="s">
        <v>46</v>
      </c>
      <c r="E1658" t="s">
        <v>47</v>
      </c>
      <c r="F1658" t="s">
        <v>22</v>
      </c>
      <c r="G1658" t="s">
        <v>23</v>
      </c>
      <c r="H1658">
        <v>3</v>
      </c>
      <c r="I1658">
        <v>66000</v>
      </c>
    </row>
    <row r="1659" spans="1:9" x14ac:dyDescent="0.3">
      <c r="A1659" s="1">
        <v>46044</v>
      </c>
      <c r="B1659">
        <v>2026</v>
      </c>
      <c r="C1659">
        <v>1</v>
      </c>
      <c r="D1659" t="s">
        <v>40</v>
      </c>
      <c r="E1659" t="s">
        <v>41</v>
      </c>
      <c r="F1659" t="s">
        <v>22</v>
      </c>
      <c r="G1659" t="s">
        <v>23</v>
      </c>
      <c r="H1659">
        <v>4</v>
      </c>
      <c r="I1659">
        <v>88000</v>
      </c>
    </row>
    <row r="1660" spans="1:9" x14ac:dyDescent="0.3">
      <c r="A1660" s="1">
        <v>46150</v>
      </c>
      <c r="B1660">
        <v>2026</v>
      </c>
      <c r="C1660">
        <v>5</v>
      </c>
      <c r="D1660" t="s">
        <v>46</v>
      </c>
      <c r="E1660" t="s">
        <v>47</v>
      </c>
      <c r="F1660" t="s">
        <v>22</v>
      </c>
      <c r="G1660" t="s">
        <v>23</v>
      </c>
      <c r="H1660">
        <v>2</v>
      </c>
      <c r="I1660">
        <v>44000</v>
      </c>
    </row>
    <row r="1661" spans="1:9" x14ac:dyDescent="0.3">
      <c r="A1661" s="1">
        <v>46153</v>
      </c>
      <c r="B1661">
        <v>2026</v>
      </c>
      <c r="C1661">
        <v>5</v>
      </c>
      <c r="D1661" t="s">
        <v>50</v>
      </c>
      <c r="E1661" t="s">
        <v>41</v>
      </c>
      <c r="F1661" t="s">
        <v>22</v>
      </c>
      <c r="G1661" t="s">
        <v>23</v>
      </c>
      <c r="H1661">
        <v>4</v>
      </c>
      <c r="I1661">
        <v>88000</v>
      </c>
    </row>
    <row r="1662" spans="1:9" x14ac:dyDescent="0.3">
      <c r="A1662" s="1">
        <v>46099</v>
      </c>
      <c r="B1662">
        <v>2026</v>
      </c>
      <c r="C1662">
        <v>3</v>
      </c>
      <c r="D1662" t="s">
        <v>50</v>
      </c>
      <c r="E1662" t="s">
        <v>41</v>
      </c>
      <c r="F1662" t="s">
        <v>22</v>
      </c>
      <c r="G1662" t="s">
        <v>23</v>
      </c>
      <c r="H1662">
        <v>1</v>
      </c>
      <c r="I1662">
        <v>22000</v>
      </c>
    </row>
    <row r="1663" spans="1:9" x14ac:dyDescent="0.3">
      <c r="A1663" s="1">
        <v>46220</v>
      </c>
      <c r="B1663">
        <v>2026</v>
      </c>
      <c r="C1663">
        <v>7</v>
      </c>
      <c r="D1663" t="s">
        <v>46</v>
      </c>
      <c r="E1663" t="s">
        <v>47</v>
      </c>
      <c r="F1663" t="s">
        <v>22</v>
      </c>
      <c r="G1663" t="s">
        <v>23</v>
      </c>
      <c r="H1663">
        <v>4</v>
      </c>
      <c r="I1663">
        <v>88000</v>
      </c>
    </row>
    <row r="1664" spans="1:9" x14ac:dyDescent="0.3">
      <c r="A1664" s="1">
        <v>46079</v>
      </c>
      <c r="B1664">
        <v>2026</v>
      </c>
      <c r="C1664">
        <v>2</v>
      </c>
      <c r="D1664" t="s">
        <v>40</v>
      </c>
      <c r="E1664" t="s">
        <v>41</v>
      </c>
      <c r="F1664" t="s">
        <v>22</v>
      </c>
      <c r="G1664" t="s">
        <v>23</v>
      </c>
      <c r="H1664">
        <v>4</v>
      </c>
      <c r="I1664">
        <v>88000</v>
      </c>
    </row>
    <row r="1665" spans="1:9" x14ac:dyDescent="0.3">
      <c r="A1665" s="1">
        <v>46041</v>
      </c>
      <c r="B1665">
        <v>2026</v>
      </c>
      <c r="C1665">
        <v>1</v>
      </c>
      <c r="D1665" t="s">
        <v>51</v>
      </c>
      <c r="E1665" t="s">
        <v>45</v>
      </c>
      <c r="F1665" t="s">
        <v>22</v>
      </c>
      <c r="G1665" t="s">
        <v>23</v>
      </c>
      <c r="H1665">
        <v>3</v>
      </c>
      <c r="I1665">
        <v>66000</v>
      </c>
    </row>
    <row r="1666" spans="1:9" x14ac:dyDescent="0.3">
      <c r="A1666" s="1">
        <v>46296</v>
      </c>
      <c r="B1666">
        <v>2026</v>
      </c>
      <c r="C1666">
        <v>10</v>
      </c>
      <c r="D1666" t="s">
        <v>49</v>
      </c>
      <c r="E1666" t="s">
        <v>47</v>
      </c>
      <c r="F1666" t="s">
        <v>22</v>
      </c>
      <c r="G1666" t="s">
        <v>23</v>
      </c>
      <c r="H1666">
        <v>2</v>
      </c>
      <c r="I1666">
        <v>44000</v>
      </c>
    </row>
    <row r="1667" spans="1:9" x14ac:dyDescent="0.3">
      <c r="A1667" s="1">
        <v>46080</v>
      </c>
      <c r="B1667">
        <v>2026</v>
      </c>
      <c r="C1667">
        <v>2</v>
      </c>
      <c r="D1667" t="s">
        <v>51</v>
      </c>
      <c r="E1667" t="s">
        <v>45</v>
      </c>
      <c r="F1667" t="s">
        <v>22</v>
      </c>
      <c r="G1667" t="s">
        <v>23</v>
      </c>
      <c r="H1667">
        <v>4</v>
      </c>
      <c r="I1667">
        <v>88000</v>
      </c>
    </row>
    <row r="1668" spans="1:9" x14ac:dyDescent="0.3">
      <c r="A1668" s="1">
        <v>46210</v>
      </c>
      <c r="B1668">
        <v>2026</v>
      </c>
      <c r="C1668">
        <v>7</v>
      </c>
      <c r="D1668" t="s">
        <v>40</v>
      </c>
      <c r="E1668" t="s">
        <v>41</v>
      </c>
      <c r="F1668" t="s">
        <v>22</v>
      </c>
      <c r="G1668" t="s">
        <v>23</v>
      </c>
      <c r="H1668">
        <v>1</v>
      </c>
      <c r="I1668">
        <v>22000</v>
      </c>
    </row>
    <row r="1669" spans="1:9" x14ac:dyDescent="0.3">
      <c r="A1669" s="1">
        <v>46155</v>
      </c>
      <c r="B1669">
        <v>2026</v>
      </c>
      <c r="C1669">
        <v>5</v>
      </c>
      <c r="D1669" t="s">
        <v>40</v>
      </c>
      <c r="E1669" t="s">
        <v>41</v>
      </c>
      <c r="F1669" t="s">
        <v>22</v>
      </c>
      <c r="G1669" t="s">
        <v>23</v>
      </c>
      <c r="H1669">
        <v>1</v>
      </c>
      <c r="I1669">
        <v>22000</v>
      </c>
    </row>
    <row r="1670" spans="1:9" x14ac:dyDescent="0.3">
      <c r="A1670" s="1">
        <v>46227</v>
      </c>
      <c r="B1670">
        <v>2026</v>
      </c>
      <c r="C1670">
        <v>7</v>
      </c>
      <c r="D1670" t="s">
        <v>50</v>
      </c>
      <c r="E1670" t="s">
        <v>41</v>
      </c>
      <c r="F1670" t="s">
        <v>22</v>
      </c>
      <c r="G1670" t="s">
        <v>23</v>
      </c>
      <c r="H1670">
        <v>1</v>
      </c>
      <c r="I1670">
        <v>22000</v>
      </c>
    </row>
    <row r="1671" spans="1:9" x14ac:dyDescent="0.3">
      <c r="A1671" s="1">
        <v>46210</v>
      </c>
      <c r="B1671">
        <v>2026</v>
      </c>
      <c r="C1671">
        <v>7</v>
      </c>
      <c r="D1671" t="s">
        <v>42</v>
      </c>
      <c r="E1671" t="s">
        <v>43</v>
      </c>
      <c r="F1671" t="s">
        <v>22</v>
      </c>
      <c r="G1671" t="s">
        <v>23</v>
      </c>
      <c r="H1671">
        <v>4</v>
      </c>
      <c r="I1671">
        <v>88000</v>
      </c>
    </row>
    <row r="1672" spans="1:9" x14ac:dyDescent="0.3">
      <c r="A1672" s="1">
        <v>46205</v>
      </c>
      <c r="B1672">
        <v>2026</v>
      </c>
      <c r="C1672">
        <v>7</v>
      </c>
      <c r="D1672" t="s">
        <v>42</v>
      </c>
      <c r="E1672" t="s">
        <v>43</v>
      </c>
      <c r="F1672" t="s">
        <v>22</v>
      </c>
      <c r="G1672" t="s">
        <v>23</v>
      </c>
      <c r="H1672">
        <v>2</v>
      </c>
      <c r="I1672">
        <v>44000</v>
      </c>
    </row>
    <row r="1673" spans="1:9" x14ac:dyDescent="0.3">
      <c r="A1673" s="1">
        <v>46247</v>
      </c>
      <c r="B1673">
        <v>2026</v>
      </c>
      <c r="C1673">
        <v>8</v>
      </c>
      <c r="D1673" t="s">
        <v>50</v>
      </c>
      <c r="E1673" t="s">
        <v>41</v>
      </c>
      <c r="F1673" t="s">
        <v>22</v>
      </c>
      <c r="G1673" t="s">
        <v>23</v>
      </c>
      <c r="H1673">
        <v>3</v>
      </c>
      <c r="I1673">
        <v>66000</v>
      </c>
    </row>
    <row r="1674" spans="1:9" x14ac:dyDescent="0.3">
      <c r="A1674" s="1">
        <v>46156</v>
      </c>
      <c r="B1674">
        <v>2026</v>
      </c>
      <c r="C1674">
        <v>5</v>
      </c>
      <c r="D1674" t="s">
        <v>48</v>
      </c>
      <c r="E1674" t="s">
        <v>43</v>
      </c>
      <c r="F1674" t="s">
        <v>22</v>
      </c>
      <c r="G1674" t="s">
        <v>23</v>
      </c>
      <c r="H1674">
        <v>1</v>
      </c>
      <c r="I1674">
        <v>22000</v>
      </c>
    </row>
    <row r="1675" spans="1:9" x14ac:dyDescent="0.3">
      <c r="A1675" s="1">
        <v>46277</v>
      </c>
      <c r="B1675">
        <v>2026</v>
      </c>
      <c r="C1675">
        <v>9</v>
      </c>
      <c r="D1675" t="s">
        <v>48</v>
      </c>
      <c r="E1675" t="s">
        <v>43</v>
      </c>
      <c r="F1675" t="s">
        <v>22</v>
      </c>
      <c r="G1675" t="s">
        <v>23</v>
      </c>
      <c r="H1675">
        <v>2</v>
      </c>
      <c r="I1675">
        <v>44000</v>
      </c>
    </row>
    <row r="1676" spans="1:9" x14ac:dyDescent="0.3">
      <c r="A1676" s="1">
        <v>46040</v>
      </c>
      <c r="B1676">
        <v>2026</v>
      </c>
      <c r="C1676">
        <v>1</v>
      </c>
      <c r="D1676" t="s">
        <v>44</v>
      </c>
      <c r="E1676" t="s">
        <v>45</v>
      </c>
      <c r="F1676" t="s">
        <v>22</v>
      </c>
      <c r="G1676" t="s">
        <v>23</v>
      </c>
      <c r="H1676">
        <v>3</v>
      </c>
      <c r="I1676">
        <v>66000</v>
      </c>
    </row>
    <row r="1677" spans="1:9" x14ac:dyDescent="0.3">
      <c r="A1677" s="1">
        <v>46269</v>
      </c>
      <c r="B1677">
        <v>2026</v>
      </c>
      <c r="C1677">
        <v>9</v>
      </c>
      <c r="D1677" t="s">
        <v>40</v>
      </c>
      <c r="E1677" t="s">
        <v>41</v>
      </c>
      <c r="F1677" t="s">
        <v>22</v>
      </c>
      <c r="G1677" t="s">
        <v>23</v>
      </c>
      <c r="H1677">
        <v>3</v>
      </c>
      <c r="I1677">
        <v>66000</v>
      </c>
    </row>
    <row r="1678" spans="1:9" x14ac:dyDescent="0.3">
      <c r="A1678" s="1">
        <v>46134</v>
      </c>
      <c r="B1678">
        <v>2026</v>
      </c>
      <c r="C1678">
        <v>4</v>
      </c>
      <c r="D1678" t="s">
        <v>40</v>
      </c>
      <c r="E1678" t="s">
        <v>41</v>
      </c>
      <c r="F1678" t="s">
        <v>22</v>
      </c>
      <c r="G1678" t="s">
        <v>23</v>
      </c>
      <c r="H1678">
        <v>2</v>
      </c>
      <c r="I1678">
        <v>44000</v>
      </c>
    </row>
    <row r="1679" spans="1:9" x14ac:dyDescent="0.3">
      <c r="A1679" s="1">
        <v>46120</v>
      </c>
      <c r="B1679">
        <v>2026</v>
      </c>
      <c r="C1679">
        <v>4</v>
      </c>
      <c r="D1679" t="s">
        <v>46</v>
      </c>
      <c r="E1679" t="s">
        <v>47</v>
      </c>
      <c r="F1679" t="s">
        <v>22</v>
      </c>
      <c r="G1679" t="s">
        <v>23</v>
      </c>
      <c r="H1679">
        <v>2</v>
      </c>
      <c r="I1679">
        <v>44000</v>
      </c>
    </row>
    <row r="1680" spans="1:9" x14ac:dyDescent="0.3">
      <c r="A1680" s="1">
        <v>46069</v>
      </c>
      <c r="B1680">
        <v>2026</v>
      </c>
      <c r="C1680">
        <v>2</v>
      </c>
      <c r="D1680" t="s">
        <v>48</v>
      </c>
      <c r="E1680" t="s">
        <v>43</v>
      </c>
      <c r="F1680" t="s">
        <v>22</v>
      </c>
      <c r="G1680" t="s">
        <v>23</v>
      </c>
      <c r="H1680">
        <v>3</v>
      </c>
      <c r="I1680">
        <v>66000</v>
      </c>
    </row>
    <row r="1681" spans="1:9" x14ac:dyDescent="0.3">
      <c r="A1681" s="1">
        <v>46131</v>
      </c>
      <c r="B1681">
        <v>2026</v>
      </c>
      <c r="C1681">
        <v>4</v>
      </c>
      <c r="D1681" t="s">
        <v>44</v>
      </c>
      <c r="E1681" t="s">
        <v>45</v>
      </c>
      <c r="F1681" t="s">
        <v>22</v>
      </c>
      <c r="G1681" t="s">
        <v>23</v>
      </c>
      <c r="H1681">
        <v>3</v>
      </c>
      <c r="I1681">
        <v>66000</v>
      </c>
    </row>
    <row r="1682" spans="1:9" x14ac:dyDescent="0.3">
      <c r="A1682" s="1">
        <v>46197</v>
      </c>
      <c r="B1682">
        <v>2026</v>
      </c>
      <c r="C1682">
        <v>6</v>
      </c>
      <c r="D1682" t="s">
        <v>42</v>
      </c>
      <c r="E1682" t="s">
        <v>43</v>
      </c>
      <c r="F1682" t="s">
        <v>22</v>
      </c>
      <c r="G1682" t="s">
        <v>23</v>
      </c>
      <c r="H1682">
        <v>2</v>
      </c>
      <c r="I1682">
        <v>44000</v>
      </c>
    </row>
    <row r="1683" spans="1:9" x14ac:dyDescent="0.3">
      <c r="A1683" s="1">
        <v>46305</v>
      </c>
      <c r="B1683">
        <v>2026</v>
      </c>
      <c r="C1683">
        <v>10</v>
      </c>
      <c r="D1683" t="s">
        <v>51</v>
      </c>
      <c r="E1683" t="s">
        <v>45</v>
      </c>
      <c r="F1683" t="s">
        <v>22</v>
      </c>
      <c r="G1683" t="s">
        <v>23</v>
      </c>
      <c r="H1683">
        <v>3</v>
      </c>
      <c r="I1683">
        <v>66000</v>
      </c>
    </row>
    <row r="1684" spans="1:9" x14ac:dyDescent="0.3">
      <c r="A1684" s="1">
        <v>46249</v>
      </c>
      <c r="B1684">
        <v>2026</v>
      </c>
      <c r="C1684">
        <v>8</v>
      </c>
      <c r="D1684" t="s">
        <v>42</v>
      </c>
      <c r="E1684" t="s">
        <v>43</v>
      </c>
      <c r="F1684" t="s">
        <v>22</v>
      </c>
      <c r="G1684" t="s">
        <v>23</v>
      </c>
      <c r="H1684">
        <v>1</v>
      </c>
      <c r="I1684">
        <v>22000</v>
      </c>
    </row>
    <row r="1685" spans="1:9" x14ac:dyDescent="0.3">
      <c r="A1685" s="1">
        <v>46149</v>
      </c>
      <c r="B1685">
        <v>2026</v>
      </c>
      <c r="C1685">
        <v>5</v>
      </c>
      <c r="D1685" t="s">
        <v>44</v>
      </c>
      <c r="E1685" t="s">
        <v>45</v>
      </c>
      <c r="F1685" t="s">
        <v>22</v>
      </c>
      <c r="G1685" t="s">
        <v>23</v>
      </c>
      <c r="H1685">
        <v>2</v>
      </c>
      <c r="I1685">
        <v>44000</v>
      </c>
    </row>
    <row r="1686" spans="1:9" x14ac:dyDescent="0.3">
      <c r="A1686" s="1">
        <v>46293</v>
      </c>
      <c r="B1686">
        <v>2026</v>
      </c>
      <c r="C1686">
        <v>9</v>
      </c>
      <c r="D1686" t="s">
        <v>51</v>
      </c>
      <c r="E1686" t="s">
        <v>45</v>
      </c>
      <c r="F1686" t="s">
        <v>22</v>
      </c>
      <c r="G1686" t="s">
        <v>23</v>
      </c>
      <c r="H1686">
        <v>2</v>
      </c>
      <c r="I1686">
        <v>44000</v>
      </c>
    </row>
    <row r="1687" spans="1:9" x14ac:dyDescent="0.3">
      <c r="A1687" s="1">
        <v>46255</v>
      </c>
      <c r="B1687">
        <v>2026</v>
      </c>
      <c r="C1687">
        <v>8</v>
      </c>
      <c r="D1687" t="s">
        <v>44</v>
      </c>
      <c r="E1687" t="s">
        <v>45</v>
      </c>
      <c r="F1687" t="s">
        <v>22</v>
      </c>
      <c r="G1687" t="s">
        <v>23</v>
      </c>
      <c r="H1687">
        <v>3</v>
      </c>
      <c r="I1687">
        <v>66000</v>
      </c>
    </row>
    <row r="1688" spans="1:9" x14ac:dyDescent="0.3">
      <c r="A1688" s="1">
        <v>46054</v>
      </c>
      <c r="B1688">
        <v>2026</v>
      </c>
      <c r="C1688">
        <v>2</v>
      </c>
      <c r="D1688" t="s">
        <v>40</v>
      </c>
      <c r="E1688" t="s">
        <v>41</v>
      </c>
      <c r="F1688" t="s">
        <v>22</v>
      </c>
      <c r="G1688" t="s">
        <v>23</v>
      </c>
      <c r="H1688">
        <v>1</v>
      </c>
      <c r="I1688">
        <v>22000</v>
      </c>
    </row>
    <row r="1689" spans="1:9" x14ac:dyDescent="0.3">
      <c r="A1689" s="1">
        <v>46255</v>
      </c>
      <c r="B1689">
        <v>2026</v>
      </c>
      <c r="C1689">
        <v>8</v>
      </c>
      <c r="D1689" t="s">
        <v>48</v>
      </c>
      <c r="E1689" t="s">
        <v>43</v>
      </c>
      <c r="F1689" t="s">
        <v>22</v>
      </c>
      <c r="G1689" t="s">
        <v>23</v>
      </c>
      <c r="H1689">
        <v>1</v>
      </c>
      <c r="I1689">
        <v>22000</v>
      </c>
    </row>
    <row r="1690" spans="1:9" x14ac:dyDescent="0.3">
      <c r="A1690" s="1">
        <v>46292</v>
      </c>
      <c r="B1690">
        <v>2026</v>
      </c>
      <c r="C1690">
        <v>9</v>
      </c>
      <c r="D1690" t="s">
        <v>49</v>
      </c>
      <c r="E1690" t="s">
        <v>47</v>
      </c>
      <c r="F1690" t="s">
        <v>22</v>
      </c>
      <c r="G1690" t="s">
        <v>23</v>
      </c>
      <c r="H1690">
        <v>4</v>
      </c>
      <c r="I1690">
        <v>88000</v>
      </c>
    </row>
    <row r="1691" spans="1:9" x14ac:dyDescent="0.3">
      <c r="A1691" s="1">
        <v>46134</v>
      </c>
      <c r="B1691">
        <v>2026</v>
      </c>
      <c r="C1691">
        <v>4</v>
      </c>
      <c r="D1691" t="s">
        <v>49</v>
      </c>
      <c r="E1691" t="s">
        <v>47</v>
      </c>
      <c r="F1691" t="s">
        <v>22</v>
      </c>
      <c r="G1691" t="s">
        <v>23</v>
      </c>
      <c r="H1691">
        <v>3</v>
      </c>
      <c r="I1691">
        <v>66000</v>
      </c>
    </row>
    <row r="1692" spans="1:9" x14ac:dyDescent="0.3">
      <c r="A1692" s="1">
        <v>46315</v>
      </c>
      <c r="B1692">
        <v>2026</v>
      </c>
      <c r="C1692">
        <v>10</v>
      </c>
      <c r="D1692" t="s">
        <v>49</v>
      </c>
      <c r="E1692" t="s">
        <v>47</v>
      </c>
      <c r="F1692" t="s">
        <v>22</v>
      </c>
      <c r="G1692" t="s">
        <v>23</v>
      </c>
      <c r="H1692">
        <v>2</v>
      </c>
      <c r="I1692">
        <v>44000</v>
      </c>
    </row>
    <row r="1693" spans="1:9" x14ac:dyDescent="0.3">
      <c r="A1693" s="1">
        <v>46094</v>
      </c>
      <c r="B1693">
        <v>2026</v>
      </c>
      <c r="C1693">
        <v>3</v>
      </c>
      <c r="D1693" t="s">
        <v>44</v>
      </c>
      <c r="E1693" t="s">
        <v>45</v>
      </c>
      <c r="F1693" t="s">
        <v>22</v>
      </c>
      <c r="G1693" t="s">
        <v>23</v>
      </c>
      <c r="H1693">
        <v>1</v>
      </c>
      <c r="I1693">
        <v>22000</v>
      </c>
    </row>
    <row r="1694" spans="1:9" x14ac:dyDescent="0.3">
      <c r="A1694" s="1">
        <v>46274</v>
      </c>
      <c r="B1694">
        <v>2026</v>
      </c>
      <c r="C1694">
        <v>9</v>
      </c>
      <c r="D1694" t="s">
        <v>44</v>
      </c>
      <c r="E1694" t="s">
        <v>45</v>
      </c>
      <c r="F1694" t="s">
        <v>22</v>
      </c>
      <c r="G1694" t="s">
        <v>23</v>
      </c>
      <c r="H1694">
        <v>4</v>
      </c>
      <c r="I1694">
        <v>88000</v>
      </c>
    </row>
    <row r="1695" spans="1:9" x14ac:dyDescent="0.3">
      <c r="A1695" s="1">
        <v>46230</v>
      </c>
      <c r="B1695">
        <v>2026</v>
      </c>
      <c r="C1695">
        <v>7</v>
      </c>
      <c r="D1695" t="s">
        <v>49</v>
      </c>
      <c r="E1695" t="s">
        <v>47</v>
      </c>
      <c r="F1695" t="s">
        <v>22</v>
      </c>
      <c r="G1695" t="s">
        <v>23</v>
      </c>
      <c r="H1695">
        <v>3</v>
      </c>
      <c r="I1695">
        <v>66000</v>
      </c>
    </row>
    <row r="1696" spans="1:9" x14ac:dyDescent="0.3">
      <c r="A1696" s="1">
        <v>46127</v>
      </c>
      <c r="B1696">
        <v>2026</v>
      </c>
      <c r="C1696">
        <v>4</v>
      </c>
      <c r="D1696" t="s">
        <v>48</v>
      </c>
      <c r="E1696" t="s">
        <v>43</v>
      </c>
      <c r="F1696" t="s">
        <v>22</v>
      </c>
      <c r="G1696" t="s">
        <v>23</v>
      </c>
      <c r="H1696">
        <v>3</v>
      </c>
      <c r="I1696">
        <v>66000</v>
      </c>
    </row>
    <row r="1697" spans="1:9" x14ac:dyDescent="0.3">
      <c r="A1697" s="1">
        <v>46272</v>
      </c>
      <c r="B1697">
        <v>2026</v>
      </c>
      <c r="C1697">
        <v>9</v>
      </c>
      <c r="D1697" t="s">
        <v>50</v>
      </c>
      <c r="E1697" t="s">
        <v>41</v>
      </c>
      <c r="F1697" t="s">
        <v>22</v>
      </c>
      <c r="G1697" t="s">
        <v>23</v>
      </c>
      <c r="H1697">
        <v>2</v>
      </c>
      <c r="I1697">
        <v>44000</v>
      </c>
    </row>
    <row r="1698" spans="1:9" x14ac:dyDescent="0.3">
      <c r="A1698" s="1">
        <v>46302</v>
      </c>
      <c r="B1698">
        <v>2026</v>
      </c>
      <c r="C1698">
        <v>10</v>
      </c>
      <c r="D1698" t="s">
        <v>50</v>
      </c>
      <c r="E1698" t="s">
        <v>41</v>
      </c>
      <c r="F1698" t="s">
        <v>22</v>
      </c>
      <c r="G1698" t="s">
        <v>23</v>
      </c>
      <c r="H1698">
        <v>2</v>
      </c>
      <c r="I1698">
        <v>44000</v>
      </c>
    </row>
    <row r="1699" spans="1:9" x14ac:dyDescent="0.3">
      <c r="A1699" s="1">
        <v>46143</v>
      </c>
      <c r="B1699">
        <v>2026</v>
      </c>
      <c r="C1699">
        <v>5</v>
      </c>
      <c r="D1699" t="s">
        <v>51</v>
      </c>
      <c r="E1699" t="s">
        <v>45</v>
      </c>
      <c r="F1699" t="s">
        <v>22</v>
      </c>
      <c r="G1699" t="s">
        <v>23</v>
      </c>
      <c r="H1699">
        <v>3</v>
      </c>
      <c r="I1699">
        <v>66000</v>
      </c>
    </row>
    <row r="1700" spans="1:9" x14ac:dyDescent="0.3">
      <c r="A1700" s="1">
        <v>46135</v>
      </c>
      <c r="B1700">
        <v>2026</v>
      </c>
      <c r="C1700">
        <v>4</v>
      </c>
      <c r="D1700" t="s">
        <v>40</v>
      </c>
      <c r="E1700" t="s">
        <v>41</v>
      </c>
      <c r="F1700" t="s">
        <v>22</v>
      </c>
      <c r="G1700" t="s">
        <v>23</v>
      </c>
      <c r="H1700">
        <v>4</v>
      </c>
      <c r="I1700">
        <v>88000</v>
      </c>
    </row>
    <row r="1701" spans="1:9" x14ac:dyDescent="0.3">
      <c r="A1701" s="1">
        <v>46307</v>
      </c>
      <c r="B1701">
        <v>2026</v>
      </c>
      <c r="C1701">
        <v>10</v>
      </c>
      <c r="D1701" t="s">
        <v>49</v>
      </c>
      <c r="E1701" t="s">
        <v>47</v>
      </c>
      <c r="F1701" t="s">
        <v>22</v>
      </c>
      <c r="G1701" t="s">
        <v>23</v>
      </c>
      <c r="H1701">
        <v>3</v>
      </c>
      <c r="I1701">
        <v>66000</v>
      </c>
    </row>
    <row r="1702" spans="1:9" x14ac:dyDescent="0.3">
      <c r="A1702" s="1">
        <v>46072</v>
      </c>
      <c r="B1702">
        <v>2026</v>
      </c>
      <c r="C1702">
        <v>2</v>
      </c>
      <c r="D1702" t="s">
        <v>46</v>
      </c>
      <c r="E1702" t="s">
        <v>47</v>
      </c>
      <c r="F1702" t="s">
        <v>22</v>
      </c>
      <c r="G1702" t="s">
        <v>23</v>
      </c>
      <c r="H1702">
        <v>3</v>
      </c>
      <c r="I1702">
        <v>66000</v>
      </c>
    </row>
    <row r="1703" spans="1:9" x14ac:dyDescent="0.3">
      <c r="A1703" s="1">
        <v>46093</v>
      </c>
      <c r="B1703">
        <v>2026</v>
      </c>
      <c r="C1703">
        <v>3</v>
      </c>
      <c r="D1703" t="s">
        <v>49</v>
      </c>
      <c r="E1703" t="s">
        <v>47</v>
      </c>
      <c r="F1703" t="s">
        <v>22</v>
      </c>
      <c r="G1703" t="s">
        <v>23</v>
      </c>
      <c r="H1703">
        <v>4</v>
      </c>
      <c r="I1703">
        <v>88000</v>
      </c>
    </row>
    <row r="1704" spans="1:9" x14ac:dyDescent="0.3">
      <c r="A1704" s="1">
        <v>46297</v>
      </c>
      <c r="B1704">
        <v>2026</v>
      </c>
      <c r="C1704">
        <v>10</v>
      </c>
      <c r="D1704" t="s">
        <v>42</v>
      </c>
      <c r="E1704" t="s">
        <v>43</v>
      </c>
      <c r="F1704" t="s">
        <v>22</v>
      </c>
      <c r="G1704" t="s">
        <v>23</v>
      </c>
      <c r="H1704">
        <v>3</v>
      </c>
      <c r="I1704">
        <v>66000</v>
      </c>
    </row>
    <row r="1705" spans="1:9" x14ac:dyDescent="0.3">
      <c r="A1705" s="1">
        <v>46172</v>
      </c>
      <c r="B1705">
        <v>2026</v>
      </c>
      <c r="C1705">
        <v>5</v>
      </c>
      <c r="D1705" t="s">
        <v>42</v>
      </c>
      <c r="E1705" t="s">
        <v>43</v>
      </c>
      <c r="F1705" t="s">
        <v>22</v>
      </c>
      <c r="G1705" t="s">
        <v>23</v>
      </c>
      <c r="H1705">
        <v>1</v>
      </c>
      <c r="I1705">
        <v>22000</v>
      </c>
    </row>
    <row r="1706" spans="1:9" x14ac:dyDescent="0.3">
      <c r="A1706" s="1">
        <v>46034</v>
      </c>
      <c r="B1706">
        <v>2026</v>
      </c>
      <c r="C1706">
        <v>1</v>
      </c>
      <c r="D1706" t="s">
        <v>46</v>
      </c>
      <c r="E1706" t="s">
        <v>47</v>
      </c>
      <c r="F1706" t="s">
        <v>22</v>
      </c>
      <c r="G1706" t="s">
        <v>23</v>
      </c>
      <c r="H1706">
        <v>3</v>
      </c>
      <c r="I1706">
        <v>66000</v>
      </c>
    </row>
    <row r="1707" spans="1:9" x14ac:dyDescent="0.3">
      <c r="A1707" s="1">
        <v>46246</v>
      </c>
      <c r="B1707">
        <v>2026</v>
      </c>
      <c r="C1707">
        <v>8</v>
      </c>
      <c r="D1707" t="s">
        <v>50</v>
      </c>
      <c r="E1707" t="s">
        <v>41</v>
      </c>
      <c r="F1707" t="s">
        <v>22</v>
      </c>
      <c r="G1707" t="s">
        <v>23</v>
      </c>
      <c r="H1707">
        <v>3</v>
      </c>
      <c r="I1707">
        <v>66000</v>
      </c>
    </row>
    <row r="1708" spans="1:9" x14ac:dyDescent="0.3">
      <c r="A1708" s="1">
        <v>46034</v>
      </c>
      <c r="B1708">
        <v>2026</v>
      </c>
      <c r="C1708">
        <v>1</v>
      </c>
      <c r="D1708" t="s">
        <v>44</v>
      </c>
      <c r="E1708" t="s">
        <v>45</v>
      </c>
      <c r="F1708" t="s">
        <v>22</v>
      </c>
      <c r="G1708" t="s">
        <v>23</v>
      </c>
      <c r="H1708">
        <v>3</v>
      </c>
      <c r="I1708">
        <v>66000</v>
      </c>
    </row>
    <row r="1709" spans="1:9" x14ac:dyDescent="0.3">
      <c r="A1709" s="1">
        <v>46205</v>
      </c>
      <c r="B1709">
        <v>2026</v>
      </c>
      <c r="C1709">
        <v>7</v>
      </c>
      <c r="D1709" t="s">
        <v>42</v>
      </c>
      <c r="E1709" t="s">
        <v>43</v>
      </c>
      <c r="F1709" t="s">
        <v>22</v>
      </c>
      <c r="G1709" t="s">
        <v>23</v>
      </c>
      <c r="H1709">
        <v>5</v>
      </c>
      <c r="I1709">
        <v>110000</v>
      </c>
    </row>
    <row r="1710" spans="1:9" x14ac:dyDescent="0.3">
      <c r="A1710" s="1">
        <v>46073</v>
      </c>
      <c r="B1710">
        <v>2026</v>
      </c>
      <c r="C1710">
        <v>2</v>
      </c>
      <c r="D1710" t="s">
        <v>40</v>
      </c>
      <c r="E1710" t="s">
        <v>41</v>
      </c>
      <c r="F1710" t="s">
        <v>22</v>
      </c>
      <c r="G1710" t="s">
        <v>23</v>
      </c>
      <c r="H1710">
        <v>5</v>
      </c>
      <c r="I1710">
        <v>110000</v>
      </c>
    </row>
    <row r="1711" spans="1:9" x14ac:dyDescent="0.3">
      <c r="A1711" s="1">
        <v>46136</v>
      </c>
      <c r="B1711">
        <v>2026</v>
      </c>
      <c r="C1711">
        <v>4</v>
      </c>
      <c r="D1711" t="s">
        <v>51</v>
      </c>
      <c r="E1711" t="s">
        <v>45</v>
      </c>
      <c r="F1711" t="s">
        <v>22</v>
      </c>
      <c r="G1711" t="s">
        <v>23</v>
      </c>
      <c r="H1711">
        <v>5</v>
      </c>
      <c r="I1711">
        <v>110000</v>
      </c>
    </row>
    <row r="1712" spans="1:9" x14ac:dyDescent="0.3">
      <c r="A1712" s="1">
        <v>46057</v>
      </c>
      <c r="B1712">
        <v>2026</v>
      </c>
      <c r="C1712">
        <v>2</v>
      </c>
      <c r="D1712" t="s">
        <v>42</v>
      </c>
      <c r="E1712" t="s">
        <v>43</v>
      </c>
      <c r="F1712" t="s">
        <v>22</v>
      </c>
      <c r="G1712" t="s">
        <v>23</v>
      </c>
      <c r="H1712">
        <v>5</v>
      </c>
      <c r="I1712">
        <v>110000</v>
      </c>
    </row>
    <row r="1713" spans="1:9" x14ac:dyDescent="0.3">
      <c r="A1713" s="1">
        <v>46065</v>
      </c>
      <c r="B1713">
        <v>2026</v>
      </c>
      <c r="C1713">
        <v>2</v>
      </c>
      <c r="D1713" t="s">
        <v>42</v>
      </c>
      <c r="E1713" t="s">
        <v>43</v>
      </c>
      <c r="F1713" t="s">
        <v>22</v>
      </c>
      <c r="G1713" t="s">
        <v>23</v>
      </c>
      <c r="H1713">
        <v>5</v>
      </c>
      <c r="I1713">
        <v>110000</v>
      </c>
    </row>
    <row r="1714" spans="1:9" x14ac:dyDescent="0.3">
      <c r="A1714" s="1">
        <v>46250</v>
      </c>
      <c r="B1714">
        <v>2026</v>
      </c>
      <c r="C1714">
        <v>8</v>
      </c>
      <c r="D1714" t="s">
        <v>49</v>
      </c>
      <c r="E1714" t="s">
        <v>47</v>
      </c>
      <c r="F1714" t="s">
        <v>22</v>
      </c>
      <c r="G1714" t="s">
        <v>23</v>
      </c>
      <c r="H1714">
        <v>5</v>
      </c>
      <c r="I1714">
        <v>110000</v>
      </c>
    </row>
    <row r="1715" spans="1:9" x14ac:dyDescent="0.3">
      <c r="A1715" s="1">
        <v>46275</v>
      </c>
      <c r="B1715">
        <v>2026</v>
      </c>
      <c r="C1715">
        <v>9</v>
      </c>
      <c r="D1715" t="s">
        <v>49</v>
      </c>
      <c r="E1715" t="s">
        <v>47</v>
      </c>
      <c r="F1715" t="s">
        <v>22</v>
      </c>
      <c r="G1715" t="s">
        <v>23</v>
      </c>
      <c r="H1715">
        <v>5</v>
      </c>
      <c r="I1715">
        <v>110000</v>
      </c>
    </row>
    <row r="1716" spans="1:9" x14ac:dyDescent="0.3">
      <c r="A1716" s="1">
        <v>46254</v>
      </c>
      <c r="B1716">
        <v>2026</v>
      </c>
      <c r="C1716">
        <v>8</v>
      </c>
      <c r="D1716" t="s">
        <v>44</v>
      </c>
      <c r="E1716" t="s">
        <v>45</v>
      </c>
      <c r="F1716" t="s">
        <v>22</v>
      </c>
      <c r="G1716" t="s">
        <v>23</v>
      </c>
      <c r="H1716">
        <v>5</v>
      </c>
      <c r="I1716">
        <v>110000</v>
      </c>
    </row>
    <row r="1717" spans="1:9" x14ac:dyDescent="0.3">
      <c r="A1717" s="1">
        <v>46242</v>
      </c>
      <c r="B1717">
        <v>2026</v>
      </c>
      <c r="C1717">
        <v>8</v>
      </c>
      <c r="D1717" t="s">
        <v>44</v>
      </c>
      <c r="E1717" t="s">
        <v>45</v>
      </c>
      <c r="F1717" t="s">
        <v>22</v>
      </c>
      <c r="G1717" t="s">
        <v>23</v>
      </c>
      <c r="H1717">
        <v>5</v>
      </c>
      <c r="I1717">
        <v>110000</v>
      </c>
    </row>
    <row r="1718" spans="1:9" x14ac:dyDescent="0.3">
      <c r="A1718" s="1">
        <v>46112</v>
      </c>
      <c r="B1718">
        <v>2026</v>
      </c>
      <c r="C1718">
        <v>3</v>
      </c>
      <c r="D1718" t="s">
        <v>51</v>
      </c>
      <c r="E1718" t="s">
        <v>45</v>
      </c>
      <c r="F1718" t="s">
        <v>22</v>
      </c>
      <c r="G1718" t="s">
        <v>23</v>
      </c>
      <c r="H1718">
        <v>5</v>
      </c>
      <c r="I1718">
        <v>110000</v>
      </c>
    </row>
    <row r="1719" spans="1:9" x14ac:dyDescent="0.3">
      <c r="A1719" s="1">
        <v>46154</v>
      </c>
      <c r="B1719">
        <v>2026</v>
      </c>
      <c r="C1719">
        <v>5</v>
      </c>
      <c r="D1719" t="s">
        <v>51</v>
      </c>
      <c r="E1719" t="s">
        <v>45</v>
      </c>
      <c r="F1719" t="s">
        <v>22</v>
      </c>
      <c r="G1719" t="s">
        <v>23</v>
      </c>
      <c r="H1719">
        <v>5</v>
      </c>
      <c r="I1719">
        <v>110000</v>
      </c>
    </row>
    <row r="1720" spans="1:9" x14ac:dyDescent="0.3">
      <c r="A1720" s="1">
        <v>46280</v>
      </c>
      <c r="B1720">
        <v>2026</v>
      </c>
      <c r="C1720">
        <v>9</v>
      </c>
      <c r="D1720" t="s">
        <v>50</v>
      </c>
      <c r="E1720" t="s">
        <v>41</v>
      </c>
      <c r="F1720" t="s">
        <v>22</v>
      </c>
      <c r="G1720" t="s">
        <v>23</v>
      </c>
      <c r="H1720">
        <v>5</v>
      </c>
      <c r="I1720">
        <v>110000</v>
      </c>
    </row>
    <row r="1721" spans="1:9" x14ac:dyDescent="0.3">
      <c r="A1721" s="1">
        <v>46214</v>
      </c>
      <c r="B1721">
        <v>2026</v>
      </c>
      <c r="C1721">
        <v>7</v>
      </c>
      <c r="D1721" t="s">
        <v>42</v>
      </c>
      <c r="E1721" t="s">
        <v>43</v>
      </c>
      <c r="F1721" t="s">
        <v>22</v>
      </c>
      <c r="G1721" t="s">
        <v>23</v>
      </c>
      <c r="H1721">
        <v>5</v>
      </c>
      <c r="I1721">
        <v>110000</v>
      </c>
    </row>
    <row r="1722" spans="1:9" x14ac:dyDescent="0.3">
      <c r="A1722" s="1">
        <v>46138</v>
      </c>
      <c r="B1722">
        <v>2026</v>
      </c>
      <c r="C1722">
        <v>4</v>
      </c>
      <c r="D1722" t="s">
        <v>50</v>
      </c>
      <c r="E1722" t="s">
        <v>41</v>
      </c>
      <c r="F1722" t="s">
        <v>22</v>
      </c>
      <c r="G1722" t="s">
        <v>23</v>
      </c>
      <c r="H1722">
        <v>5</v>
      </c>
      <c r="I1722">
        <v>110000</v>
      </c>
    </row>
    <row r="1723" spans="1:9" x14ac:dyDescent="0.3">
      <c r="A1723" s="1">
        <v>46125</v>
      </c>
      <c r="B1723">
        <v>2026</v>
      </c>
      <c r="C1723">
        <v>4</v>
      </c>
      <c r="D1723" t="s">
        <v>44</v>
      </c>
      <c r="E1723" t="s">
        <v>45</v>
      </c>
      <c r="F1723" t="s">
        <v>22</v>
      </c>
      <c r="G1723" t="s">
        <v>23</v>
      </c>
      <c r="H1723">
        <v>5</v>
      </c>
      <c r="I1723">
        <v>110000</v>
      </c>
    </row>
    <row r="1724" spans="1:9" x14ac:dyDescent="0.3">
      <c r="A1724" s="1">
        <v>46093</v>
      </c>
      <c r="B1724">
        <v>2026</v>
      </c>
      <c r="C1724">
        <v>3</v>
      </c>
      <c r="D1724" t="s">
        <v>50</v>
      </c>
      <c r="E1724" t="s">
        <v>41</v>
      </c>
      <c r="F1724" t="s">
        <v>22</v>
      </c>
      <c r="G1724" t="s">
        <v>23</v>
      </c>
      <c r="H1724">
        <v>5</v>
      </c>
      <c r="I1724">
        <v>110000</v>
      </c>
    </row>
    <row r="1725" spans="1:9" x14ac:dyDescent="0.3">
      <c r="A1725" s="1">
        <v>46051</v>
      </c>
      <c r="B1725">
        <v>2026</v>
      </c>
      <c r="C1725">
        <v>1</v>
      </c>
      <c r="D1725" t="s">
        <v>40</v>
      </c>
      <c r="E1725" t="s">
        <v>41</v>
      </c>
      <c r="F1725" t="s">
        <v>22</v>
      </c>
      <c r="G1725" t="s">
        <v>23</v>
      </c>
      <c r="H1725">
        <v>5</v>
      </c>
      <c r="I1725">
        <v>110000</v>
      </c>
    </row>
    <row r="1726" spans="1:9" x14ac:dyDescent="0.3">
      <c r="A1726" s="1">
        <v>46210</v>
      </c>
      <c r="B1726">
        <v>2026</v>
      </c>
      <c r="C1726">
        <v>7</v>
      </c>
      <c r="D1726" t="s">
        <v>46</v>
      </c>
      <c r="E1726" t="s">
        <v>47</v>
      </c>
      <c r="F1726" t="s">
        <v>22</v>
      </c>
      <c r="G1726" t="s">
        <v>23</v>
      </c>
      <c r="H1726">
        <v>5</v>
      </c>
      <c r="I1726">
        <v>110000</v>
      </c>
    </row>
    <row r="1727" spans="1:9" x14ac:dyDescent="0.3">
      <c r="A1727" s="1">
        <v>46300</v>
      </c>
      <c r="B1727">
        <v>2026</v>
      </c>
      <c r="C1727">
        <v>10</v>
      </c>
      <c r="D1727" t="s">
        <v>42</v>
      </c>
      <c r="E1727" t="s">
        <v>43</v>
      </c>
      <c r="F1727" t="s">
        <v>22</v>
      </c>
      <c r="G1727" t="s">
        <v>23</v>
      </c>
      <c r="H1727">
        <v>5</v>
      </c>
      <c r="I1727">
        <v>110000</v>
      </c>
    </row>
    <row r="1728" spans="1:9" x14ac:dyDescent="0.3">
      <c r="A1728" s="1">
        <v>46178</v>
      </c>
      <c r="B1728">
        <v>2026</v>
      </c>
      <c r="C1728">
        <v>6</v>
      </c>
      <c r="D1728" t="s">
        <v>48</v>
      </c>
      <c r="E1728" t="s">
        <v>43</v>
      </c>
      <c r="F1728" t="s">
        <v>22</v>
      </c>
      <c r="G1728" t="s">
        <v>23</v>
      </c>
      <c r="H1728">
        <v>5</v>
      </c>
      <c r="I1728">
        <v>110000</v>
      </c>
    </row>
    <row r="1729" spans="1:9" x14ac:dyDescent="0.3">
      <c r="A1729" s="1">
        <v>46262</v>
      </c>
      <c r="B1729">
        <v>2026</v>
      </c>
      <c r="C1729">
        <v>8</v>
      </c>
      <c r="D1729" t="s">
        <v>48</v>
      </c>
      <c r="E1729" t="s">
        <v>43</v>
      </c>
      <c r="F1729" t="s">
        <v>22</v>
      </c>
      <c r="G1729" t="s">
        <v>23</v>
      </c>
      <c r="H1729">
        <v>5</v>
      </c>
      <c r="I1729">
        <v>110000</v>
      </c>
    </row>
    <row r="1730" spans="1:9" x14ac:dyDescent="0.3">
      <c r="A1730" s="1">
        <v>46264</v>
      </c>
      <c r="B1730">
        <v>2026</v>
      </c>
      <c r="C1730">
        <v>8</v>
      </c>
      <c r="D1730" t="s">
        <v>49</v>
      </c>
      <c r="E1730" t="s">
        <v>47</v>
      </c>
      <c r="F1730" t="s">
        <v>22</v>
      </c>
      <c r="G1730" t="s">
        <v>23</v>
      </c>
      <c r="H1730">
        <v>5</v>
      </c>
      <c r="I1730">
        <v>110000</v>
      </c>
    </row>
    <row r="1731" spans="1:9" x14ac:dyDescent="0.3">
      <c r="A1731" s="1">
        <v>46090</v>
      </c>
      <c r="B1731">
        <v>2026</v>
      </c>
      <c r="C1731">
        <v>3</v>
      </c>
      <c r="D1731" t="s">
        <v>51</v>
      </c>
      <c r="E1731" t="s">
        <v>45</v>
      </c>
      <c r="F1731" t="s">
        <v>22</v>
      </c>
      <c r="G1731" t="s">
        <v>23</v>
      </c>
      <c r="H1731">
        <v>5</v>
      </c>
      <c r="I1731">
        <v>110000</v>
      </c>
    </row>
    <row r="1732" spans="1:9" x14ac:dyDescent="0.3">
      <c r="A1732" s="1">
        <v>46139</v>
      </c>
      <c r="B1732">
        <v>2026</v>
      </c>
      <c r="C1732">
        <v>4</v>
      </c>
      <c r="D1732" t="s">
        <v>50</v>
      </c>
      <c r="E1732" t="s">
        <v>41</v>
      </c>
      <c r="F1732" t="s">
        <v>22</v>
      </c>
      <c r="G1732" t="s">
        <v>23</v>
      </c>
      <c r="H1732">
        <v>5</v>
      </c>
      <c r="I1732">
        <v>110000</v>
      </c>
    </row>
    <row r="1733" spans="1:9" x14ac:dyDescent="0.3">
      <c r="A1733" s="1">
        <v>46047</v>
      </c>
      <c r="B1733">
        <v>2026</v>
      </c>
      <c r="C1733">
        <v>1</v>
      </c>
      <c r="D1733" t="s">
        <v>44</v>
      </c>
      <c r="E1733" t="s">
        <v>45</v>
      </c>
      <c r="F1733" t="s">
        <v>22</v>
      </c>
      <c r="G1733" t="s">
        <v>23</v>
      </c>
      <c r="H1733">
        <v>5</v>
      </c>
      <c r="I1733">
        <v>110000</v>
      </c>
    </row>
    <row r="1734" spans="1:9" x14ac:dyDescent="0.3">
      <c r="A1734" s="1">
        <v>46193</v>
      </c>
      <c r="B1734">
        <v>2026</v>
      </c>
      <c r="C1734">
        <v>6</v>
      </c>
      <c r="D1734" t="s">
        <v>42</v>
      </c>
      <c r="E1734" t="s">
        <v>43</v>
      </c>
      <c r="F1734" t="s">
        <v>22</v>
      </c>
      <c r="G1734" t="s">
        <v>23</v>
      </c>
      <c r="H1734">
        <v>5</v>
      </c>
      <c r="I1734">
        <v>110000</v>
      </c>
    </row>
    <row r="1735" spans="1:9" x14ac:dyDescent="0.3">
      <c r="A1735" s="1">
        <v>46063</v>
      </c>
      <c r="B1735">
        <v>2026</v>
      </c>
      <c r="C1735">
        <v>2</v>
      </c>
      <c r="D1735" t="s">
        <v>40</v>
      </c>
      <c r="E1735" t="s">
        <v>41</v>
      </c>
      <c r="F1735" t="s">
        <v>22</v>
      </c>
      <c r="G1735" t="s">
        <v>23</v>
      </c>
      <c r="H1735">
        <v>5</v>
      </c>
      <c r="I1735">
        <v>110000</v>
      </c>
    </row>
    <row r="1736" spans="1:9" x14ac:dyDescent="0.3">
      <c r="A1736" s="1">
        <v>46236</v>
      </c>
      <c r="B1736">
        <v>2026</v>
      </c>
      <c r="C1736">
        <v>8</v>
      </c>
      <c r="D1736" t="s">
        <v>48</v>
      </c>
      <c r="E1736" t="s">
        <v>43</v>
      </c>
      <c r="F1736" t="s">
        <v>22</v>
      </c>
      <c r="G1736" t="s">
        <v>23</v>
      </c>
      <c r="H1736">
        <v>5</v>
      </c>
      <c r="I1736">
        <v>110000</v>
      </c>
    </row>
    <row r="1737" spans="1:9" x14ac:dyDescent="0.3">
      <c r="A1737" s="1">
        <v>46292</v>
      </c>
      <c r="B1737">
        <v>2026</v>
      </c>
      <c r="C1737">
        <v>9</v>
      </c>
      <c r="D1737" t="s">
        <v>46</v>
      </c>
      <c r="E1737" t="s">
        <v>47</v>
      </c>
      <c r="F1737" t="s">
        <v>22</v>
      </c>
      <c r="G1737" t="s">
        <v>23</v>
      </c>
      <c r="H1737">
        <v>5</v>
      </c>
      <c r="I1737">
        <v>110000</v>
      </c>
    </row>
    <row r="1738" spans="1:9" x14ac:dyDescent="0.3">
      <c r="A1738" s="1">
        <v>46310</v>
      </c>
      <c r="B1738">
        <v>2026</v>
      </c>
      <c r="C1738">
        <v>10</v>
      </c>
      <c r="D1738" t="s">
        <v>44</v>
      </c>
      <c r="E1738" t="s">
        <v>45</v>
      </c>
      <c r="F1738" t="s">
        <v>22</v>
      </c>
      <c r="G1738" t="s">
        <v>23</v>
      </c>
      <c r="H1738">
        <v>5</v>
      </c>
      <c r="I1738">
        <v>110000</v>
      </c>
    </row>
    <row r="1739" spans="1:9" x14ac:dyDescent="0.3">
      <c r="A1739" s="1">
        <v>46106</v>
      </c>
      <c r="B1739">
        <v>2026</v>
      </c>
      <c r="C1739">
        <v>3</v>
      </c>
      <c r="D1739" t="s">
        <v>40</v>
      </c>
      <c r="E1739" t="s">
        <v>41</v>
      </c>
      <c r="F1739" t="s">
        <v>22</v>
      </c>
      <c r="G1739" t="s">
        <v>23</v>
      </c>
      <c r="H1739">
        <v>5</v>
      </c>
      <c r="I1739">
        <v>110000</v>
      </c>
    </row>
    <row r="1740" spans="1:9" x14ac:dyDescent="0.3">
      <c r="A1740" s="1">
        <v>46200</v>
      </c>
      <c r="B1740">
        <v>2026</v>
      </c>
      <c r="C1740">
        <v>6</v>
      </c>
      <c r="D1740" t="s">
        <v>40</v>
      </c>
      <c r="E1740" t="s">
        <v>41</v>
      </c>
      <c r="F1740" t="s">
        <v>22</v>
      </c>
      <c r="G1740" t="s">
        <v>23</v>
      </c>
      <c r="H1740">
        <v>5</v>
      </c>
      <c r="I1740">
        <v>110000</v>
      </c>
    </row>
    <row r="1741" spans="1:9" x14ac:dyDescent="0.3">
      <c r="A1741" s="1">
        <v>46182</v>
      </c>
      <c r="B1741">
        <v>2026</v>
      </c>
      <c r="C1741">
        <v>6</v>
      </c>
      <c r="D1741" t="s">
        <v>46</v>
      </c>
      <c r="E1741" t="s">
        <v>47</v>
      </c>
      <c r="F1741" t="s">
        <v>22</v>
      </c>
      <c r="G1741" t="s">
        <v>23</v>
      </c>
      <c r="H1741">
        <v>5</v>
      </c>
      <c r="I1741">
        <v>110000</v>
      </c>
    </row>
    <row r="1742" spans="1:9" x14ac:dyDescent="0.3">
      <c r="A1742" s="1">
        <v>46084</v>
      </c>
      <c r="B1742">
        <v>2026</v>
      </c>
      <c r="C1742">
        <v>3</v>
      </c>
      <c r="D1742" t="s">
        <v>49</v>
      </c>
      <c r="E1742" t="s">
        <v>47</v>
      </c>
      <c r="F1742" t="s">
        <v>22</v>
      </c>
      <c r="G1742" t="s">
        <v>23</v>
      </c>
      <c r="H1742">
        <v>5</v>
      </c>
      <c r="I1742">
        <v>110000</v>
      </c>
    </row>
    <row r="1743" spans="1:9" x14ac:dyDescent="0.3">
      <c r="A1743" s="1">
        <v>46322</v>
      </c>
      <c r="B1743">
        <v>2026</v>
      </c>
      <c r="C1743">
        <v>10</v>
      </c>
      <c r="D1743" t="s">
        <v>50</v>
      </c>
      <c r="E1743" t="s">
        <v>41</v>
      </c>
      <c r="F1743" t="s">
        <v>22</v>
      </c>
      <c r="G1743" t="s">
        <v>23</v>
      </c>
      <c r="H1743">
        <v>5</v>
      </c>
      <c r="I1743">
        <v>110000</v>
      </c>
    </row>
    <row r="1744" spans="1:9" x14ac:dyDescent="0.3">
      <c r="A1744" s="1">
        <v>46314</v>
      </c>
      <c r="B1744">
        <v>2026</v>
      </c>
      <c r="C1744">
        <v>10</v>
      </c>
      <c r="D1744" t="s">
        <v>40</v>
      </c>
      <c r="E1744" t="s">
        <v>41</v>
      </c>
      <c r="F1744" t="s">
        <v>22</v>
      </c>
      <c r="G1744" t="s">
        <v>23</v>
      </c>
      <c r="H1744">
        <v>5</v>
      </c>
      <c r="I1744">
        <v>110000</v>
      </c>
    </row>
    <row r="1745" spans="1:9" x14ac:dyDescent="0.3">
      <c r="A1745" s="1">
        <v>46105</v>
      </c>
      <c r="B1745">
        <v>2026</v>
      </c>
      <c r="C1745">
        <v>3</v>
      </c>
      <c r="D1745" t="s">
        <v>49</v>
      </c>
      <c r="E1745" t="s">
        <v>47</v>
      </c>
      <c r="F1745" t="s">
        <v>22</v>
      </c>
      <c r="G1745" t="s">
        <v>23</v>
      </c>
      <c r="H1745">
        <v>5</v>
      </c>
      <c r="I1745">
        <v>110000</v>
      </c>
    </row>
    <row r="1746" spans="1:9" x14ac:dyDescent="0.3">
      <c r="A1746" s="1">
        <v>46102</v>
      </c>
      <c r="B1746">
        <v>2026</v>
      </c>
      <c r="C1746">
        <v>3</v>
      </c>
      <c r="D1746" t="s">
        <v>42</v>
      </c>
      <c r="E1746" t="s">
        <v>43</v>
      </c>
      <c r="F1746" t="s">
        <v>22</v>
      </c>
      <c r="G1746" t="s">
        <v>23</v>
      </c>
      <c r="H1746">
        <v>5</v>
      </c>
      <c r="I1746">
        <v>110000</v>
      </c>
    </row>
    <row r="1747" spans="1:9" x14ac:dyDescent="0.3">
      <c r="A1747" s="1">
        <v>46040</v>
      </c>
      <c r="B1747">
        <v>2026</v>
      </c>
      <c r="C1747">
        <v>1</v>
      </c>
      <c r="D1747" t="s">
        <v>44</v>
      </c>
      <c r="E1747" t="s">
        <v>45</v>
      </c>
      <c r="F1747" t="s">
        <v>22</v>
      </c>
      <c r="G1747" t="s">
        <v>23</v>
      </c>
      <c r="H1747">
        <v>5</v>
      </c>
      <c r="I1747">
        <v>110000</v>
      </c>
    </row>
    <row r="1748" spans="1:9" x14ac:dyDescent="0.3">
      <c r="A1748" s="1">
        <v>46318</v>
      </c>
      <c r="B1748">
        <v>2026</v>
      </c>
      <c r="C1748">
        <v>10</v>
      </c>
      <c r="D1748" t="s">
        <v>49</v>
      </c>
      <c r="E1748" t="s">
        <v>47</v>
      </c>
      <c r="F1748" t="s">
        <v>22</v>
      </c>
      <c r="G1748" t="s">
        <v>23</v>
      </c>
      <c r="H1748">
        <v>5</v>
      </c>
      <c r="I1748">
        <v>110000</v>
      </c>
    </row>
    <row r="1749" spans="1:9" x14ac:dyDescent="0.3">
      <c r="A1749" s="1">
        <v>46238</v>
      </c>
      <c r="B1749">
        <v>2026</v>
      </c>
      <c r="C1749">
        <v>8</v>
      </c>
      <c r="D1749" t="s">
        <v>50</v>
      </c>
      <c r="E1749" t="s">
        <v>41</v>
      </c>
      <c r="F1749" t="s">
        <v>22</v>
      </c>
      <c r="G1749" t="s">
        <v>23</v>
      </c>
      <c r="H1749">
        <v>5</v>
      </c>
      <c r="I1749">
        <v>110000</v>
      </c>
    </row>
    <row r="1750" spans="1:9" x14ac:dyDescent="0.3">
      <c r="A1750" s="1">
        <v>46122</v>
      </c>
      <c r="B1750">
        <v>2026</v>
      </c>
      <c r="C1750">
        <v>4</v>
      </c>
      <c r="D1750" t="s">
        <v>50</v>
      </c>
      <c r="E1750" t="s">
        <v>41</v>
      </c>
      <c r="F1750" t="s">
        <v>22</v>
      </c>
      <c r="G1750" t="s">
        <v>23</v>
      </c>
      <c r="H1750">
        <v>5</v>
      </c>
      <c r="I1750">
        <v>110000</v>
      </c>
    </row>
    <row r="1751" spans="1:9" x14ac:dyDescent="0.3">
      <c r="A1751" s="1">
        <v>46035</v>
      </c>
      <c r="B1751">
        <v>2026</v>
      </c>
      <c r="C1751">
        <v>1</v>
      </c>
      <c r="D1751" t="s">
        <v>40</v>
      </c>
      <c r="E1751" t="s">
        <v>41</v>
      </c>
      <c r="F1751" t="s">
        <v>22</v>
      </c>
      <c r="G1751" t="s">
        <v>23</v>
      </c>
      <c r="H1751">
        <v>5</v>
      </c>
      <c r="I1751">
        <v>110000</v>
      </c>
    </row>
    <row r="1752" spans="1:9" x14ac:dyDescent="0.3">
      <c r="A1752" s="1">
        <v>46203</v>
      </c>
      <c r="B1752">
        <v>2026</v>
      </c>
      <c r="C1752">
        <v>6</v>
      </c>
      <c r="D1752" t="s">
        <v>40</v>
      </c>
      <c r="E1752" t="s">
        <v>41</v>
      </c>
      <c r="F1752" t="s">
        <v>22</v>
      </c>
      <c r="G1752" t="s">
        <v>23</v>
      </c>
      <c r="H1752">
        <v>5</v>
      </c>
      <c r="I1752">
        <v>110000</v>
      </c>
    </row>
    <row r="1753" spans="1:9" x14ac:dyDescent="0.3">
      <c r="A1753" s="1">
        <v>46277</v>
      </c>
      <c r="B1753">
        <v>2026</v>
      </c>
      <c r="C1753">
        <v>9</v>
      </c>
      <c r="D1753" t="s">
        <v>50</v>
      </c>
      <c r="E1753" t="s">
        <v>41</v>
      </c>
      <c r="F1753" t="s">
        <v>22</v>
      </c>
      <c r="G1753" t="s">
        <v>23</v>
      </c>
      <c r="H1753">
        <v>5</v>
      </c>
      <c r="I1753">
        <v>110000</v>
      </c>
    </row>
    <row r="1754" spans="1:9" x14ac:dyDescent="0.3">
      <c r="A1754" s="1">
        <v>46025</v>
      </c>
      <c r="B1754">
        <v>2026</v>
      </c>
      <c r="C1754">
        <v>1</v>
      </c>
      <c r="D1754" t="s">
        <v>49</v>
      </c>
      <c r="E1754" t="s">
        <v>47</v>
      </c>
      <c r="F1754" t="s">
        <v>22</v>
      </c>
      <c r="G1754" t="s">
        <v>23</v>
      </c>
      <c r="H1754">
        <v>5</v>
      </c>
      <c r="I1754">
        <v>110000</v>
      </c>
    </row>
    <row r="1755" spans="1:9" x14ac:dyDescent="0.3">
      <c r="A1755" s="1">
        <v>46125</v>
      </c>
      <c r="B1755">
        <v>2026</v>
      </c>
      <c r="C1755">
        <v>4</v>
      </c>
      <c r="D1755" t="s">
        <v>50</v>
      </c>
      <c r="E1755" t="s">
        <v>41</v>
      </c>
      <c r="F1755" t="s">
        <v>22</v>
      </c>
      <c r="G1755" t="s">
        <v>23</v>
      </c>
      <c r="H1755">
        <v>5</v>
      </c>
      <c r="I1755">
        <v>110000</v>
      </c>
    </row>
    <row r="1756" spans="1:9" x14ac:dyDescent="0.3">
      <c r="A1756" s="1">
        <v>46242</v>
      </c>
      <c r="B1756">
        <v>2026</v>
      </c>
      <c r="C1756">
        <v>8</v>
      </c>
      <c r="D1756" t="s">
        <v>42</v>
      </c>
      <c r="E1756" t="s">
        <v>43</v>
      </c>
      <c r="F1756" t="s">
        <v>22</v>
      </c>
      <c r="G1756" t="s">
        <v>23</v>
      </c>
      <c r="H1756">
        <v>5</v>
      </c>
      <c r="I1756">
        <v>110000</v>
      </c>
    </row>
    <row r="1757" spans="1:9" x14ac:dyDescent="0.3">
      <c r="A1757" s="1">
        <v>46104</v>
      </c>
      <c r="B1757">
        <v>2026</v>
      </c>
      <c r="C1757">
        <v>3</v>
      </c>
      <c r="D1757" t="s">
        <v>49</v>
      </c>
      <c r="E1757" t="s">
        <v>47</v>
      </c>
      <c r="F1757" t="s">
        <v>22</v>
      </c>
      <c r="G1757" t="s">
        <v>23</v>
      </c>
      <c r="H1757">
        <v>5</v>
      </c>
      <c r="I1757">
        <v>110000</v>
      </c>
    </row>
    <row r="1758" spans="1:9" x14ac:dyDescent="0.3">
      <c r="A1758" s="1">
        <v>46078</v>
      </c>
      <c r="B1758">
        <v>2026</v>
      </c>
      <c r="C1758">
        <v>2</v>
      </c>
      <c r="D1758" t="s">
        <v>44</v>
      </c>
      <c r="E1758" t="s">
        <v>45</v>
      </c>
      <c r="F1758" t="s">
        <v>22</v>
      </c>
      <c r="G1758" t="s">
        <v>23</v>
      </c>
      <c r="H1758">
        <v>5</v>
      </c>
      <c r="I1758">
        <v>110000</v>
      </c>
    </row>
    <row r="1759" spans="1:9" x14ac:dyDescent="0.3">
      <c r="A1759" s="1">
        <v>46073</v>
      </c>
      <c r="B1759">
        <v>2026</v>
      </c>
      <c r="C1759">
        <v>2</v>
      </c>
      <c r="D1759" t="s">
        <v>50</v>
      </c>
      <c r="E1759" t="s">
        <v>41</v>
      </c>
      <c r="F1759" t="s">
        <v>22</v>
      </c>
      <c r="G1759" t="s">
        <v>23</v>
      </c>
      <c r="H1759">
        <v>5</v>
      </c>
      <c r="I1759">
        <v>110000</v>
      </c>
    </row>
    <row r="1760" spans="1:9" x14ac:dyDescent="0.3">
      <c r="A1760" s="1">
        <v>46150</v>
      </c>
      <c r="B1760">
        <v>2026</v>
      </c>
      <c r="C1760">
        <v>5</v>
      </c>
      <c r="D1760" t="s">
        <v>51</v>
      </c>
      <c r="E1760" t="s">
        <v>45</v>
      </c>
      <c r="F1760" t="s">
        <v>22</v>
      </c>
      <c r="G1760" t="s">
        <v>23</v>
      </c>
      <c r="H1760">
        <v>5</v>
      </c>
      <c r="I1760">
        <v>110000</v>
      </c>
    </row>
    <row r="1761" spans="1:9" x14ac:dyDescent="0.3">
      <c r="A1761" s="1">
        <v>46211</v>
      </c>
      <c r="B1761">
        <v>2026</v>
      </c>
      <c r="C1761">
        <v>7</v>
      </c>
      <c r="D1761" t="s">
        <v>51</v>
      </c>
      <c r="E1761" t="s">
        <v>45</v>
      </c>
      <c r="F1761" t="s">
        <v>22</v>
      </c>
      <c r="G1761" t="s">
        <v>23</v>
      </c>
      <c r="H1761">
        <v>5</v>
      </c>
      <c r="I1761">
        <v>110000</v>
      </c>
    </row>
    <row r="1762" spans="1:9" x14ac:dyDescent="0.3">
      <c r="A1762" s="1">
        <v>46317</v>
      </c>
      <c r="B1762">
        <v>2026</v>
      </c>
      <c r="C1762">
        <v>10</v>
      </c>
      <c r="D1762" t="s">
        <v>48</v>
      </c>
      <c r="E1762" t="s">
        <v>43</v>
      </c>
      <c r="F1762" t="s">
        <v>22</v>
      </c>
      <c r="G1762" t="s">
        <v>23</v>
      </c>
      <c r="H1762">
        <v>5</v>
      </c>
      <c r="I1762">
        <v>110000</v>
      </c>
    </row>
    <row r="1763" spans="1:9" x14ac:dyDescent="0.3">
      <c r="A1763" s="1">
        <v>46260</v>
      </c>
      <c r="B1763">
        <v>2026</v>
      </c>
      <c r="C1763">
        <v>8</v>
      </c>
      <c r="D1763" t="s">
        <v>48</v>
      </c>
      <c r="E1763" t="s">
        <v>43</v>
      </c>
      <c r="F1763" t="s">
        <v>22</v>
      </c>
      <c r="G1763" t="s">
        <v>23</v>
      </c>
      <c r="H1763">
        <v>5</v>
      </c>
      <c r="I1763">
        <v>110000</v>
      </c>
    </row>
    <row r="1764" spans="1:9" x14ac:dyDescent="0.3">
      <c r="A1764" s="1">
        <v>46035</v>
      </c>
      <c r="B1764">
        <v>2026</v>
      </c>
      <c r="C1764">
        <v>1</v>
      </c>
      <c r="D1764" t="s">
        <v>50</v>
      </c>
      <c r="E1764" t="s">
        <v>41</v>
      </c>
      <c r="F1764" t="s">
        <v>22</v>
      </c>
      <c r="G1764" t="s">
        <v>23</v>
      </c>
      <c r="H1764">
        <v>5</v>
      </c>
      <c r="I1764">
        <v>110000</v>
      </c>
    </row>
    <row r="1765" spans="1:9" x14ac:dyDescent="0.3">
      <c r="A1765" s="1">
        <v>46112</v>
      </c>
      <c r="B1765">
        <v>2026</v>
      </c>
      <c r="C1765">
        <v>3</v>
      </c>
      <c r="D1765" t="s">
        <v>50</v>
      </c>
      <c r="E1765" t="s">
        <v>41</v>
      </c>
      <c r="F1765" t="s">
        <v>22</v>
      </c>
      <c r="G1765" t="s">
        <v>23</v>
      </c>
      <c r="H1765">
        <v>5</v>
      </c>
      <c r="I1765">
        <v>110000</v>
      </c>
    </row>
    <row r="1766" spans="1:9" x14ac:dyDescent="0.3">
      <c r="A1766" s="1">
        <v>46205</v>
      </c>
      <c r="B1766">
        <v>2026</v>
      </c>
      <c r="C1766">
        <v>7</v>
      </c>
      <c r="D1766" t="s">
        <v>49</v>
      </c>
      <c r="E1766" t="s">
        <v>47</v>
      </c>
      <c r="F1766" t="s">
        <v>22</v>
      </c>
      <c r="G1766" t="s">
        <v>23</v>
      </c>
      <c r="H1766">
        <v>5</v>
      </c>
      <c r="I1766">
        <v>110000</v>
      </c>
    </row>
    <row r="1767" spans="1:9" x14ac:dyDescent="0.3">
      <c r="A1767" s="1">
        <v>46036</v>
      </c>
      <c r="B1767">
        <v>2026</v>
      </c>
      <c r="C1767">
        <v>1</v>
      </c>
      <c r="D1767" t="s">
        <v>40</v>
      </c>
      <c r="E1767" t="s">
        <v>41</v>
      </c>
      <c r="F1767" t="s">
        <v>22</v>
      </c>
      <c r="G1767" t="s">
        <v>23</v>
      </c>
      <c r="H1767">
        <v>5</v>
      </c>
      <c r="I1767">
        <v>110000</v>
      </c>
    </row>
    <row r="1768" spans="1:9" x14ac:dyDescent="0.3">
      <c r="A1768" s="1">
        <v>46110</v>
      </c>
      <c r="B1768">
        <v>2026</v>
      </c>
      <c r="C1768">
        <v>3</v>
      </c>
      <c r="D1768" t="s">
        <v>50</v>
      </c>
      <c r="E1768" t="s">
        <v>41</v>
      </c>
      <c r="F1768" t="s">
        <v>22</v>
      </c>
      <c r="G1768" t="s">
        <v>23</v>
      </c>
      <c r="H1768">
        <v>5</v>
      </c>
      <c r="I1768">
        <v>110000</v>
      </c>
    </row>
    <row r="1769" spans="1:9" x14ac:dyDescent="0.3">
      <c r="A1769" s="1">
        <v>46068</v>
      </c>
      <c r="B1769">
        <v>2026</v>
      </c>
      <c r="C1769">
        <v>2</v>
      </c>
      <c r="D1769" t="s">
        <v>48</v>
      </c>
      <c r="E1769" t="s">
        <v>43</v>
      </c>
      <c r="F1769" t="s">
        <v>22</v>
      </c>
      <c r="G1769" t="s">
        <v>23</v>
      </c>
      <c r="H1769">
        <v>5</v>
      </c>
      <c r="I1769">
        <v>110000</v>
      </c>
    </row>
    <row r="1770" spans="1:9" x14ac:dyDescent="0.3">
      <c r="A1770" s="1">
        <v>46267</v>
      </c>
      <c r="B1770">
        <v>2026</v>
      </c>
      <c r="C1770">
        <v>9</v>
      </c>
      <c r="D1770" t="s">
        <v>46</v>
      </c>
      <c r="E1770" t="s">
        <v>47</v>
      </c>
      <c r="F1770" t="s">
        <v>22</v>
      </c>
      <c r="G1770" t="s">
        <v>23</v>
      </c>
      <c r="H1770">
        <v>5</v>
      </c>
      <c r="I1770">
        <v>110000</v>
      </c>
    </row>
    <row r="1771" spans="1:9" x14ac:dyDescent="0.3">
      <c r="A1771" s="1">
        <v>46110</v>
      </c>
      <c r="B1771">
        <v>2026</v>
      </c>
      <c r="C1771">
        <v>3</v>
      </c>
      <c r="D1771" t="s">
        <v>46</v>
      </c>
      <c r="E1771" t="s">
        <v>47</v>
      </c>
      <c r="F1771" t="s">
        <v>22</v>
      </c>
      <c r="G1771" t="s">
        <v>23</v>
      </c>
      <c r="H1771">
        <v>5</v>
      </c>
      <c r="I1771">
        <v>110000</v>
      </c>
    </row>
    <row r="1772" spans="1:9" x14ac:dyDescent="0.3">
      <c r="A1772" s="1">
        <v>46249</v>
      </c>
      <c r="B1772">
        <v>2026</v>
      </c>
      <c r="C1772">
        <v>8</v>
      </c>
      <c r="D1772" t="s">
        <v>46</v>
      </c>
      <c r="E1772" t="s">
        <v>47</v>
      </c>
      <c r="F1772" t="s">
        <v>22</v>
      </c>
      <c r="G1772" t="s">
        <v>23</v>
      </c>
      <c r="H1772">
        <v>5</v>
      </c>
      <c r="I1772">
        <v>110000</v>
      </c>
    </row>
    <row r="1773" spans="1:9" x14ac:dyDescent="0.3">
      <c r="A1773" s="1">
        <v>46115</v>
      </c>
      <c r="B1773">
        <v>2026</v>
      </c>
      <c r="C1773">
        <v>4</v>
      </c>
      <c r="D1773" t="s">
        <v>40</v>
      </c>
      <c r="E1773" t="s">
        <v>41</v>
      </c>
      <c r="F1773" t="s">
        <v>25</v>
      </c>
      <c r="G1773" t="s">
        <v>21</v>
      </c>
      <c r="H1773">
        <v>3</v>
      </c>
      <c r="I1773">
        <v>36000</v>
      </c>
    </row>
    <row r="1774" spans="1:9" x14ac:dyDescent="0.3">
      <c r="A1774" s="1">
        <v>46096</v>
      </c>
      <c r="B1774">
        <v>2026</v>
      </c>
      <c r="C1774">
        <v>3</v>
      </c>
      <c r="D1774" t="s">
        <v>51</v>
      </c>
      <c r="E1774" t="s">
        <v>45</v>
      </c>
      <c r="F1774" t="s">
        <v>25</v>
      </c>
      <c r="G1774" t="s">
        <v>21</v>
      </c>
      <c r="H1774">
        <v>3</v>
      </c>
      <c r="I1774">
        <v>36000</v>
      </c>
    </row>
    <row r="1775" spans="1:9" x14ac:dyDescent="0.3">
      <c r="A1775" s="1">
        <v>46283</v>
      </c>
      <c r="B1775">
        <v>2026</v>
      </c>
      <c r="C1775">
        <v>9</v>
      </c>
      <c r="D1775" t="s">
        <v>46</v>
      </c>
      <c r="E1775" t="s">
        <v>47</v>
      </c>
      <c r="F1775" t="s">
        <v>25</v>
      </c>
      <c r="G1775" t="s">
        <v>21</v>
      </c>
      <c r="H1775">
        <v>5</v>
      </c>
      <c r="I1775">
        <v>60000</v>
      </c>
    </row>
    <row r="1776" spans="1:9" x14ac:dyDescent="0.3">
      <c r="A1776" s="1">
        <v>46121</v>
      </c>
      <c r="B1776">
        <v>2026</v>
      </c>
      <c r="C1776">
        <v>4</v>
      </c>
      <c r="D1776" t="s">
        <v>49</v>
      </c>
      <c r="E1776" t="s">
        <v>47</v>
      </c>
      <c r="F1776" t="s">
        <v>25</v>
      </c>
      <c r="G1776" t="s">
        <v>21</v>
      </c>
      <c r="H1776">
        <v>1</v>
      </c>
      <c r="I1776">
        <v>12000</v>
      </c>
    </row>
    <row r="1777" spans="1:9" x14ac:dyDescent="0.3">
      <c r="A1777" s="1">
        <v>46088</v>
      </c>
      <c r="B1777">
        <v>2026</v>
      </c>
      <c r="C1777">
        <v>3</v>
      </c>
      <c r="D1777" t="s">
        <v>49</v>
      </c>
      <c r="E1777" t="s">
        <v>47</v>
      </c>
      <c r="F1777" t="s">
        <v>25</v>
      </c>
      <c r="G1777" t="s">
        <v>21</v>
      </c>
      <c r="H1777">
        <v>1</v>
      </c>
      <c r="I1777">
        <v>12000</v>
      </c>
    </row>
    <row r="1778" spans="1:9" x14ac:dyDescent="0.3">
      <c r="A1778" s="1">
        <v>46168</v>
      </c>
      <c r="B1778">
        <v>2026</v>
      </c>
      <c r="C1778">
        <v>5</v>
      </c>
      <c r="D1778" t="s">
        <v>48</v>
      </c>
      <c r="E1778" t="s">
        <v>43</v>
      </c>
      <c r="F1778" t="s">
        <v>25</v>
      </c>
      <c r="G1778" t="s">
        <v>21</v>
      </c>
      <c r="H1778">
        <v>5</v>
      </c>
      <c r="I1778">
        <v>60000</v>
      </c>
    </row>
    <row r="1779" spans="1:9" x14ac:dyDescent="0.3">
      <c r="A1779" s="1">
        <v>46222</v>
      </c>
      <c r="B1779">
        <v>2026</v>
      </c>
      <c r="C1779">
        <v>7</v>
      </c>
      <c r="D1779" t="s">
        <v>40</v>
      </c>
      <c r="E1779" t="s">
        <v>41</v>
      </c>
      <c r="F1779" t="s">
        <v>25</v>
      </c>
      <c r="G1779" t="s">
        <v>21</v>
      </c>
      <c r="H1779">
        <v>3</v>
      </c>
      <c r="I1779">
        <v>36000</v>
      </c>
    </row>
    <row r="1780" spans="1:9" x14ac:dyDescent="0.3">
      <c r="A1780" s="1">
        <v>46035</v>
      </c>
      <c r="B1780">
        <v>2026</v>
      </c>
      <c r="C1780">
        <v>1</v>
      </c>
      <c r="D1780" t="s">
        <v>51</v>
      </c>
      <c r="E1780" t="s">
        <v>45</v>
      </c>
      <c r="F1780" t="s">
        <v>25</v>
      </c>
      <c r="G1780" t="s">
        <v>21</v>
      </c>
      <c r="H1780">
        <v>1</v>
      </c>
      <c r="I1780">
        <v>12000</v>
      </c>
    </row>
    <row r="1781" spans="1:9" x14ac:dyDescent="0.3">
      <c r="A1781" s="1">
        <v>46078</v>
      </c>
      <c r="B1781">
        <v>2026</v>
      </c>
      <c r="C1781">
        <v>2</v>
      </c>
      <c r="D1781" t="s">
        <v>51</v>
      </c>
      <c r="E1781" t="s">
        <v>45</v>
      </c>
      <c r="F1781" t="s">
        <v>25</v>
      </c>
      <c r="G1781" t="s">
        <v>21</v>
      </c>
      <c r="H1781">
        <v>5</v>
      </c>
      <c r="I1781">
        <v>60000</v>
      </c>
    </row>
    <row r="1782" spans="1:9" x14ac:dyDescent="0.3">
      <c r="A1782" s="1">
        <v>46315</v>
      </c>
      <c r="B1782">
        <v>2026</v>
      </c>
      <c r="C1782">
        <v>10</v>
      </c>
      <c r="D1782" t="s">
        <v>42</v>
      </c>
      <c r="E1782" t="s">
        <v>43</v>
      </c>
      <c r="F1782" t="s">
        <v>25</v>
      </c>
      <c r="G1782" t="s">
        <v>21</v>
      </c>
      <c r="H1782">
        <v>2</v>
      </c>
      <c r="I1782">
        <v>24000</v>
      </c>
    </row>
    <row r="1783" spans="1:9" x14ac:dyDescent="0.3">
      <c r="A1783" s="1">
        <v>46150</v>
      </c>
      <c r="B1783">
        <v>2026</v>
      </c>
      <c r="C1783">
        <v>5</v>
      </c>
      <c r="D1783" t="s">
        <v>50</v>
      </c>
      <c r="E1783" t="s">
        <v>41</v>
      </c>
      <c r="F1783" t="s">
        <v>25</v>
      </c>
      <c r="G1783" t="s">
        <v>21</v>
      </c>
      <c r="H1783">
        <v>1</v>
      </c>
      <c r="I1783">
        <v>12000</v>
      </c>
    </row>
    <row r="1784" spans="1:9" x14ac:dyDescent="0.3">
      <c r="A1784" s="1">
        <v>46139</v>
      </c>
      <c r="B1784">
        <v>2026</v>
      </c>
      <c r="C1784">
        <v>4</v>
      </c>
      <c r="D1784" t="s">
        <v>44</v>
      </c>
      <c r="E1784" t="s">
        <v>45</v>
      </c>
      <c r="F1784" t="s">
        <v>25</v>
      </c>
      <c r="G1784" t="s">
        <v>21</v>
      </c>
      <c r="H1784">
        <v>2</v>
      </c>
      <c r="I1784">
        <v>24000</v>
      </c>
    </row>
    <row r="1785" spans="1:9" x14ac:dyDescent="0.3">
      <c r="A1785" s="1">
        <v>46078</v>
      </c>
      <c r="B1785">
        <v>2026</v>
      </c>
      <c r="C1785">
        <v>2</v>
      </c>
      <c r="D1785" t="s">
        <v>44</v>
      </c>
      <c r="E1785" t="s">
        <v>45</v>
      </c>
      <c r="F1785" t="s">
        <v>25</v>
      </c>
      <c r="G1785" t="s">
        <v>21</v>
      </c>
      <c r="H1785">
        <v>2</v>
      </c>
      <c r="I1785">
        <v>24000</v>
      </c>
    </row>
    <row r="1786" spans="1:9" x14ac:dyDescent="0.3">
      <c r="A1786" s="1">
        <v>46199</v>
      </c>
      <c r="B1786">
        <v>2026</v>
      </c>
      <c r="C1786">
        <v>6</v>
      </c>
      <c r="D1786" t="s">
        <v>51</v>
      </c>
      <c r="E1786" t="s">
        <v>45</v>
      </c>
      <c r="F1786" t="s">
        <v>25</v>
      </c>
      <c r="G1786" t="s">
        <v>21</v>
      </c>
      <c r="H1786">
        <v>5</v>
      </c>
      <c r="I1786">
        <v>60000</v>
      </c>
    </row>
    <row r="1787" spans="1:9" x14ac:dyDescent="0.3">
      <c r="A1787" s="1">
        <v>46129</v>
      </c>
      <c r="B1787">
        <v>2026</v>
      </c>
      <c r="C1787">
        <v>4</v>
      </c>
      <c r="D1787" t="s">
        <v>46</v>
      </c>
      <c r="E1787" t="s">
        <v>47</v>
      </c>
      <c r="F1787" t="s">
        <v>25</v>
      </c>
      <c r="G1787" t="s">
        <v>21</v>
      </c>
      <c r="H1787">
        <v>5</v>
      </c>
      <c r="I1787">
        <v>60000</v>
      </c>
    </row>
    <row r="1788" spans="1:9" x14ac:dyDescent="0.3">
      <c r="A1788" s="1">
        <v>46301</v>
      </c>
      <c r="B1788">
        <v>2026</v>
      </c>
      <c r="C1788">
        <v>10</v>
      </c>
      <c r="D1788" t="s">
        <v>42</v>
      </c>
      <c r="E1788" t="s">
        <v>43</v>
      </c>
      <c r="F1788" t="s">
        <v>25</v>
      </c>
      <c r="G1788" t="s">
        <v>21</v>
      </c>
      <c r="H1788">
        <v>5</v>
      </c>
      <c r="I1788">
        <v>60000</v>
      </c>
    </row>
    <row r="1789" spans="1:9" x14ac:dyDescent="0.3">
      <c r="A1789" s="1">
        <v>46287</v>
      </c>
      <c r="B1789">
        <v>2026</v>
      </c>
      <c r="C1789">
        <v>9</v>
      </c>
      <c r="D1789" t="s">
        <v>50</v>
      </c>
      <c r="E1789" t="s">
        <v>41</v>
      </c>
      <c r="F1789" t="s">
        <v>25</v>
      </c>
      <c r="G1789" t="s">
        <v>21</v>
      </c>
      <c r="H1789">
        <v>4</v>
      </c>
      <c r="I1789">
        <v>48000</v>
      </c>
    </row>
    <row r="1790" spans="1:9" x14ac:dyDescent="0.3">
      <c r="A1790" s="1">
        <v>46122</v>
      </c>
      <c r="B1790">
        <v>2026</v>
      </c>
      <c r="C1790">
        <v>4</v>
      </c>
      <c r="D1790" t="s">
        <v>40</v>
      </c>
      <c r="E1790" t="s">
        <v>41</v>
      </c>
      <c r="F1790" t="s">
        <v>25</v>
      </c>
      <c r="G1790" t="s">
        <v>21</v>
      </c>
      <c r="H1790">
        <v>2</v>
      </c>
      <c r="I1790">
        <v>24000</v>
      </c>
    </row>
    <row r="1791" spans="1:9" x14ac:dyDescent="0.3">
      <c r="A1791" s="1">
        <v>46159</v>
      </c>
      <c r="B1791">
        <v>2026</v>
      </c>
      <c r="C1791">
        <v>5</v>
      </c>
      <c r="D1791" t="s">
        <v>40</v>
      </c>
      <c r="E1791" t="s">
        <v>41</v>
      </c>
      <c r="F1791" t="s">
        <v>25</v>
      </c>
      <c r="G1791" t="s">
        <v>21</v>
      </c>
      <c r="H1791">
        <v>2</v>
      </c>
      <c r="I1791">
        <v>24000</v>
      </c>
    </row>
    <row r="1792" spans="1:9" x14ac:dyDescent="0.3">
      <c r="A1792" s="1">
        <v>46152</v>
      </c>
      <c r="B1792">
        <v>2026</v>
      </c>
      <c r="C1792">
        <v>5</v>
      </c>
      <c r="D1792" t="s">
        <v>51</v>
      </c>
      <c r="E1792" t="s">
        <v>45</v>
      </c>
      <c r="F1792" t="s">
        <v>25</v>
      </c>
      <c r="G1792" t="s">
        <v>21</v>
      </c>
      <c r="H1792">
        <v>5</v>
      </c>
      <c r="I1792">
        <v>60000</v>
      </c>
    </row>
    <row r="1793" spans="1:9" x14ac:dyDescent="0.3">
      <c r="A1793" s="1">
        <v>46293</v>
      </c>
      <c r="B1793">
        <v>2026</v>
      </c>
      <c r="C1793">
        <v>9</v>
      </c>
      <c r="D1793" t="s">
        <v>49</v>
      </c>
      <c r="E1793" t="s">
        <v>47</v>
      </c>
      <c r="F1793" t="s">
        <v>25</v>
      </c>
      <c r="G1793" t="s">
        <v>21</v>
      </c>
      <c r="H1793">
        <v>5</v>
      </c>
      <c r="I1793">
        <v>60000</v>
      </c>
    </row>
    <row r="1794" spans="1:9" x14ac:dyDescent="0.3">
      <c r="A1794" s="1">
        <v>46155</v>
      </c>
      <c r="B1794">
        <v>2026</v>
      </c>
      <c r="C1794">
        <v>5</v>
      </c>
      <c r="D1794" t="s">
        <v>50</v>
      </c>
      <c r="E1794" t="s">
        <v>41</v>
      </c>
      <c r="F1794" t="s">
        <v>25</v>
      </c>
      <c r="G1794" t="s">
        <v>21</v>
      </c>
      <c r="H1794">
        <v>3</v>
      </c>
      <c r="I1794">
        <v>36000</v>
      </c>
    </row>
    <row r="1795" spans="1:9" x14ac:dyDescent="0.3">
      <c r="A1795" s="1">
        <v>46113</v>
      </c>
      <c r="B1795">
        <v>2026</v>
      </c>
      <c r="C1795">
        <v>4</v>
      </c>
      <c r="D1795" t="s">
        <v>49</v>
      </c>
      <c r="E1795" t="s">
        <v>47</v>
      </c>
      <c r="F1795" t="s">
        <v>25</v>
      </c>
      <c r="G1795" t="s">
        <v>21</v>
      </c>
      <c r="H1795">
        <v>5</v>
      </c>
      <c r="I1795">
        <v>60000</v>
      </c>
    </row>
    <row r="1796" spans="1:9" x14ac:dyDescent="0.3">
      <c r="A1796" s="1">
        <v>46107</v>
      </c>
      <c r="B1796">
        <v>2026</v>
      </c>
      <c r="C1796">
        <v>3</v>
      </c>
      <c r="D1796" t="s">
        <v>49</v>
      </c>
      <c r="E1796" t="s">
        <v>47</v>
      </c>
      <c r="F1796" t="s">
        <v>25</v>
      </c>
      <c r="G1796" t="s">
        <v>21</v>
      </c>
      <c r="H1796">
        <v>1</v>
      </c>
      <c r="I1796">
        <v>12000</v>
      </c>
    </row>
    <row r="1797" spans="1:9" x14ac:dyDescent="0.3">
      <c r="A1797" s="1">
        <v>46028</v>
      </c>
      <c r="B1797">
        <v>2026</v>
      </c>
      <c r="C1797">
        <v>1</v>
      </c>
      <c r="D1797" t="s">
        <v>48</v>
      </c>
      <c r="E1797" t="s">
        <v>43</v>
      </c>
      <c r="F1797" t="s">
        <v>25</v>
      </c>
      <c r="G1797" t="s">
        <v>21</v>
      </c>
      <c r="H1797">
        <v>1</v>
      </c>
      <c r="I1797">
        <v>12000</v>
      </c>
    </row>
    <row r="1798" spans="1:9" x14ac:dyDescent="0.3">
      <c r="A1798" s="1">
        <v>46177</v>
      </c>
      <c r="B1798">
        <v>2026</v>
      </c>
      <c r="C1798">
        <v>6</v>
      </c>
      <c r="D1798" t="s">
        <v>51</v>
      </c>
      <c r="E1798" t="s">
        <v>45</v>
      </c>
      <c r="F1798" t="s">
        <v>25</v>
      </c>
      <c r="G1798" t="s">
        <v>21</v>
      </c>
      <c r="H1798">
        <v>2</v>
      </c>
      <c r="I1798">
        <v>24000</v>
      </c>
    </row>
    <row r="1799" spans="1:9" x14ac:dyDescent="0.3">
      <c r="A1799" s="1">
        <v>46284</v>
      </c>
      <c r="B1799">
        <v>2026</v>
      </c>
      <c r="C1799">
        <v>9</v>
      </c>
      <c r="D1799" t="s">
        <v>48</v>
      </c>
      <c r="E1799" t="s">
        <v>43</v>
      </c>
      <c r="F1799" t="s">
        <v>25</v>
      </c>
      <c r="G1799" t="s">
        <v>21</v>
      </c>
      <c r="H1799">
        <v>1</v>
      </c>
      <c r="I1799">
        <v>12000</v>
      </c>
    </row>
    <row r="1800" spans="1:9" x14ac:dyDescent="0.3">
      <c r="A1800" s="1">
        <v>46169</v>
      </c>
      <c r="B1800">
        <v>2026</v>
      </c>
      <c r="C1800">
        <v>5</v>
      </c>
      <c r="D1800" t="s">
        <v>49</v>
      </c>
      <c r="E1800" t="s">
        <v>47</v>
      </c>
      <c r="F1800" t="s">
        <v>25</v>
      </c>
      <c r="G1800" t="s">
        <v>21</v>
      </c>
      <c r="H1800">
        <v>4</v>
      </c>
      <c r="I1800">
        <v>48000</v>
      </c>
    </row>
    <row r="1801" spans="1:9" x14ac:dyDescent="0.3">
      <c r="A1801" s="1">
        <v>46141</v>
      </c>
      <c r="B1801">
        <v>2026</v>
      </c>
      <c r="C1801">
        <v>4</v>
      </c>
      <c r="D1801" t="s">
        <v>48</v>
      </c>
      <c r="E1801" t="s">
        <v>43</v>
      </c>
      <c r="F1801" t="s">
        <v>25</v>
      </c>
      <c r="G1801" t="s">
        <v>21</v>
      </c>
      <c r="H1801">
        <v>4</v>
      </c>
      <c r="I1801">
        <v>48000</v>
      </c>
    </row>
    <row r="1802" spans="1:9" x14ac:dyDescent="0.3">
      <c r="A1802" s="1">
        <v>46283</v>
      </c>
      <c r="B1802">
        <v>2026</v>
      </c>
      <c r="C1802">
        <v>9</v>
      </c>
      <c r="D1802" t="s">
        <v>44</v>
      </c>
      <c r="E1802" t="s">
        <v>45</v>
      </c>
      <c r="F1802" t="s">
        <v>25</v>
      </c>
      <c r="G1802" t="s">
        <v>21</v>
      </c>
      <c r="H1802">
        <v>1</v>
      </c>
      <c r="I1802">
        <v>12000</v>
      </c>
    </row>
    <row r="1803" spans="1:9" x14ac:dyDescent="0.3">
      <c r="A1803" s="1">
        <v>46288</v>
      </c>
      <c r="B1803">
        <v>2026</v>
      </c>
      <c r="C1803">
        <v>9</v>
      </c>
      <c r="D1803" t="s">
        <v>51</v>
      </c>
      <c r="E1803" t="s">
        <v>45</v>
      </c>
      <c r="F1803" t="s">
        <v>25</v>
      </c>
      <c r="G1803" t="s">
        <v>21</v>
      </c>
      <c r="H1803">
        <v>5</v>
      </c>
      <c r="I1803">
        <v>60000</v>
      </c>
    </row>
    <row r="1804" spans="1:9" x14ac:dyDescent="0.3">
      <c r="A1804" s="1">
        <v>46225</v>
      </c>
      <c r="B1804">
        <v>2026</v>
      </c>
      <c r="C1804">
        <v>7</v>
      </c>
      <c r="D1804" t="s">
        <v>42</v>
      </c>
      <c r="E1804" t="s">
        <v>43</v>
      </c>
      <c r="F1804" t="s">
        <v>25</v>
      </c>
      <c r="G1804" t="s">
        <v>21</v>
      </c>
      <c r="H1804">
        <v>3</v>
      </c>
      <c r="I1804">
        <v>36000</v>
      </c>
    </row>
    <row r="1805" spans="1:9" x14ac:dyDescent="0.3">
      <c r="A1805" s="1">
        <v>46244</v>
      </c>
      <c r="B1805">
        <v>2026</v>
      </c>
      <c r="C1805">
        <v>8</v>
      </c>
      <c r="D1805" t="s">
        <v>49</v>
      </c>
      <c r="E1805" t="s">
        <v>47</v>
      </c>
      <c r="F1805" t="s">
        <v>25</v>
      </c>
      <c r="G1805" t="s">
        <v>21</v>
      </c>
      <c r="H1805">
        <v>5</v>
      </c>
      <c r="I1805">
        <v>60000</v>
      </c>
    </row>
    <row r="1806" spans="1:9" x14ac:dyDescent="0.3">
      <c r="A1806" s="1">
        <v>46253</v>
      </c>
      <c r="B1806">
        <v>2026</v>
      </c>
      <c r="C1806">
        <v>8</v>
      </c>
      <c r="D1806" t="s">
        <v>46</v>
      </c>
      <c r="E1806" t="s">
        <v>47</v>
      </c>
      <c r="F1806" t="s">
        <v>25</v>
      </c>
      <c r="G1806" t="s">
        <v>21</v>
      </c>
      <c r="H1806">
        <v>4</v>
      </c>
      <c r="I1806">
        <v>48000</v>
      </c>
    </row>
    <row r="1807" spans="1:9" x14ac:dyDescent="0.3">
      <c r="A1807" s="1">
        <v>46158</v>
      </c>
      <c r="B1807">
        <v>2026</v>
      </c>
      <c r="C1807">
        <v>5</v>
      </c>
      <c r="D1807" t="s">
        <v>46</v>
      </c>
      <c r="E1807" t="s">
        <v>47</v>
      </c>
      <c r="F1807" t="s">
        <v>25</v>
      </c>
      <c r="G1807" t="s">
        <v>21</v>
      </c>
      <c r="H1807">
        <v>4</v>
      </c>
      <c r="I1807">
        <v>48000</v>
      </c>
    </row>
    <row r="1808" spans="1:9" x14ac:dyDescent="0.3">
      <c r="A1808" s="1">
        <v>46082</v>
      </c>
      <c r="B1808">
        <v>2026</v>
      </c>
      <c r="C1808">
        <v>3</v>
      </c>
      <c r="D1808" t="s">
        <v>46</v>
      </c>
      <c r="E1808" t="s">
        <v>47</v>
      </c>
      <c r="F1808" t="s">
        <v>25</v>
      </c>
      <c r="G1808" t="s">
        <v>21</v>
      </c>
      <c r="H1808">
        <v>2</v>
      </c>
      <c r="I1808">
        <v>24000</v>
      </c>
    </row>
    <row r="1809" spans="1:9" x14ac:dyDescent="0.3">
      <c r="A1809" s="1">
        <v>46111</v>
      </c>
      <c r="B1809">
        <v>2026</v>
      </c>
      <c r="C1809">
        <v>3</v>
      </c>
      <c r="D1809" t="s">
        <v>42</v>
      </c>
      <c r="E1809" t="s">
        <v>43</v>
      </c>
      <c r="F1809" t="s">
        <v>25</v>
      </c>
      <c r="G1809" t="s">
        <v>21</v>
      </c>
      <c r="H1809">
        <v>5</v>
      </c>
      <c r="I1809">
        <v>60000</v>
      </c>
    </row>
    <row r="1810" spans="1:9" x14ac:dyDescent="0.3">
      <c r="A1810" s="1">
        <v>46037</v>
      </c>
      <c r="B1810">
        <v>2026</v>
      </c>
      <c r="C1810">
        <v>1</v>
      </c>
      <c r="D1810" t="s">
        <v>46</v>
      </c>
      <c r="E1810" t="s">
        <v>47</v>
      </c>
      <c r="F1810" t="s">
        <v>25</v>
      </c>
      <c r="G1810" t="s">
        <v>21</v>
      </c>
      <c r="H1810">
        <v>4</v>
      </c>
      <c r="I1810">
        <v>48000</v>
      </c>
    </row>
    <row r="1811" spans="1:9" x14ac:dyDescent="0.3">
      <c r="A1811" s="1">
        <v>46163</v>
      </c>
      <c r="B1811">
        <v>2026</v>
      </c>
      <c r="C1811">
        <v>5</v>
      </c>
      <c r="D1811" t="s">
        <v>50</v>
      </c>
      <c r="E1811" t="s">
        <v>41</v>
      </c>
      <c r="F1811" t="s">
        <v>25</v>
      </c>
      <c r="G1811" t="s">
        <v>21</v>
      </c>
      <c r="H1811">
        <v>5</v>
      </c>
      <c r="I1811">
        <v>60000</v>
      </c>
    </row>
    <row r="1812" spans="1:9" x14ac:dyDescent="0.3">
      <c r="A1812" s="1">
        <v>46044</v>
      </c>
      <c r="B1812">
        <v>2026</v>
      </c>
      <c r="C1812">
        <v>1</v>
      </c>
      <c r="D1812" t="s">
        <v>42</v>
      </c>
      <c r="E1812" t="s">
        <v>43</v>
      </c>
      <c r="F1812" t="s">
        <v>25</v>
      </c>
      <c r="G1812" t="s">
        <v>21</v>
      </c>
      <c r="H1812">
        <v>1</v>
      </c>
      <c r="I1812">
        <v>12000</v>
      </c>
    </row>
    <row r="1813" spans="1:9" x14ac:dyDescent="0.3">
      <c r="A1813" s="1">
        <v>46079</v>
      </c>
      <c r="B1813">
        <v>2026</v>
      </c>
      <c r="C1813">
        <v>2</v>
      </c>
      <c r="D1813" t="s">
        <v>48</v>
      </c>
      <c r="E1813" t="s">
        <v>43</v>
      </c>
      <c r="F1813" t="s">
        <v>25</v>
      </c>
      <c r="G1813" t="s">
        <v>21</v>
      </c>
      <c r="H1813">
        <v>3</v>
      </c>
      <c r="I1813">
        <v>36000</v>
      </c>
    </row>
    <row r="1814" spans="1:9" x14ac:dyDescent="0.3">
      <c r="A1814" s="1">
        <v>46112</v>
      </c>
      <c r="B1814">
        <v>2026</v>
      </c>
      <c r="C1814">
        <v>3</v>
      </c>
      <c r="D1814" t="s">
        <v>48</v>
      </c>
      <c r="E1814" t="s">
        <v>43</v>
      </c>
      <c r="F1814" t="s">
        <v>25</v>
      </c>
      <c r="G1814" t="s">
        <v>21</v>
      </c>
      <c r="H1814">
        <v>2</v>
      </c>
      <c r="I1814">
        <v>24000</v>
      </c>
    </row>
    <row r="1815" spans="1:9" x14ac:dyDescent="0.3">
      <c r="A1815" s="1">
        <v>46133</v>
      </c>
      <c r="B1815">
        <v>2026</v>
      </c>
      <c r="C1815">
        <v>4</v>
      </c>
      <c r="D1815" t="s">
        <v>42</v>
      </c>
      <c r="E1815" t="s">
        <v>43</v>
      </c>
      <c r="F1815" t="s">
        <v>25</v>
      </c>
      <c r="G1815" t="s">
        <v>21</v>
      </c>
      <c r="H1815">
        <v>1</v>
      </c>
      <c r="I1815">
        <v>12000</v>
      </c>
    </row>
    <row r="1816" spans="1:9" x14ac:dyDescent="0.3">
      <c r="A1816" s="1">
        <v>46086</v>
      </c>
      <c r="B1816">
        <v>2026</v>
      </c>
      <c r="C1816">
        <v>3</v>
      </c>
      <c r="D1816" t="s">
        <v>48</v>
      </c>
      <c r="E1816" t="s">
        <v>43</v>
      </c>
      <c r="F1816" t="s">
        <v>25</v>
      </c>
      <c r="G1816" t="s">
        <v>21</v>
      </c>
      <c r="H1816">
        <v>5</v>
      </c>
      <c r="I1816">
        <v>60000</v>
      </c>
    </row>
    <row r="1817" spans="1:9" x14ac:dyDescent="0.3">
      <c r="A1817" s="1">
        <v>46140</v>
      </c>
      <c r="B1817">
        <v>2026</v>
      </c>
      <c r="C1817">
        <v>4</v>
      </c>
      <c r="D1817" t="s">
        <v>44</v>
      </c>
      <c r="E1817" t="s">
        <v>45</v>
      </c>
      <c r="F1817" t="s">
        <v>25</v>
      </c>
      <c r="G1817" t="s">
        <v>21</v>
      </c>
      <c r="H1817">
        <v>4</v>
      </c>
      <c r="I1817">
        <v>48000</v>
      </c>
    </row>
    <row r="1818" spans="1:9" x14ac:dyDescent="0.3">
      <c r="A1818" s="1">
        <v>46222</v>
      </c>
      <c r="B1818">
        <v>2026</v>
      </c>
      <c r="C1818">
        <v>7</v>
      </c>
      <c r="D1818" t="s">
        <v>42</v>
      </c>
      <c r="E1818" t="s">
        <v>43</v>
      </c>
      <c r="F1818" t="s">
        <v>25</v>
      </c>
      <c r="G1818" t="s">
        <v>21</v>
      </c>
      <c r="H1818">
        <v>5</v>
      </c>
      <c r="I1818">
        <v>60000</v>
      </c>
    </row>
    <row r="1819" spans="1:9" x14ac:dyDescent="0.3">
      <c r="A1819" s="1">
        <v>46127</v>
      </c>
      <c r="B1819">
        <v>2026</v>
      </c>
      <c r="C1819">
        <v>4</v>
      </c>
      <c r="D1819" t="s">
        <v>50</v>
      </c>
      <c r="E1819" t="s">
        <v>41</v>
      </c>
      <c r="F1819" t="s">
        <v>25</v>
      </c>
      <c r="G1819" t="s">
        <v>21</v>
      </c>
      <c r="H1819">
        <v>2</v>
      </c>
      <c r="I1819">
        <v>24000</v>
      </c>
    </row>
    <row r="1820" spans="1:9" x14ac:dyDescent="0.3">
      <c r="A1820" s="1">
        <v>46063</v>
      </c>
      <c r="B1820">
        <v>2026</v>
      </c>
      <c r="C1820">
        <v>2</v>
      </c>
      <c r="D1820" t="s">
        <v>44</v>
      </c>
      <c r="E1820" t="s">
        <v>45</v>
      </c>
      <c r="F1820" t="s">
        <v>25</v>
      </c>
      <c r="G1820" t="s">
        <v>21</v>
      </c>
      <c r="H1820">
        <v>4</v>
      </c>
      <c r="I1820">
        <v>48000</v>
      </c>
    </row>
    <row r="1821" spans="1:9" x14ac:dyDescent="0.3">
      <c r="A1821" s="1">
        <v>46183</v>
      </c>
      <c r="B1821">
        <v>2026</v>
      </c>
      <c r="C1821">
        <v>6</v>
      </c>
      <c r="D1821" t="s">
        <v>46</v>
      </c>
      <c r="E1821" t="s">
        <v>47</v>
      </c>
      <c r="F1821" t="s">
        <v>25</v>
      </c>
      <c r="G1821" t="s">
        <v>21</v>
      </c>
      <c r="H1821">
        <v>5</v>
      </c>
      <c r="I1821">
        <v>60000</v>
      </c>
    </row>
    <row r="1822" spans="1:9" x14ac:dyDescent="0.3">
      <c r="A1822" s="1">
        <v>46037</v>
      </c>
      <c r="B1822">
        <v>2026</v>
      </c>
      <c r="C1822">
        <v>1</v>
      </c>
      <c r="D1822" t="s">
        <v>50</v>
      </c>
      <c r="E1822" t="s">
        <v>41</v>
      </c>
      <c r="F1822" t="s">
        <v>25</v>
      </c>
      <c r="G1822" t="s">
        <v>21</v>
      </c>
      <c r="H1822">
        <v>5</v>
      </c>
      <c r="I1822">
        <v>60000</v>
      </c>
    </row>
    <row r="1823" spans="1:9" x14ac:dyDescent="0.3">
      <c r="A1823" s="1">
        <v>46095</v>
      </c>
      <c r="B1823">
        <v>2026</v>
      </c>
      <c r="C1823">
        <v>3</v>
      </c>
      <c r="D1823" t="s">
        <v>48</v>
      </c>
      <c r="E1823" t="s">
        <v>43</v>
      </c>
      <c r="F1823" t="s">
        <v>25</v>
      </c>
      <c r="G1823" t="s">
        <v>21</v>
      </c>
      <c r="H1823">
        <v>5</v>
      </c>
      <c r="I1823">
        <v>60000</v>
      </c>
    </row>
    <row r="1824" spans="1:9" x14ac:dyDescent="0.3">
      <c r="A1824" s="1">
        <v>46061</v>
      </c>
      <c r="B1824">
        <v>2026</v>
      </c>
      <c r="C1824">
        <v>2</v>
      </c>
      <c r="D1824" t="s">
        <v>50</v>
      </c>
      <c r="E1824" t="s">
        <v>41</v>
      </c>
      <c r="F1824" t="s">
        <v>25</v>
      </c>
      <c r="G1824" t="s">
        <v>21</v>
      </c>
      <c r="H1824">
        <v>1</v>
      </c>
      <c r="I1824">
        <v>12000</v>
      </c>
    </row>
    <row r="1825" spans="1:9" x14ac:dyDescent="0.3">
      <c r="A1825" s="1">
        <v>46040</v>
      </c>
      <c r="B1825">
        <v>2026</v>
      </c>
      <c r="C1825">
        <v>1</v>
      </c>
      <c r="D1825" t="s">
        <v>50</v>
      </c>
      <c r="E1825" t="s">
        <v>41</v>
      </c>
      <c r="F1825" t="s">
        <v>25</v>
      </c>
      <c r="G1825" t="s">
        <v>21</v>
      </c>
      <c r="H1825">
        <v>2</v>
      </c>
      <c r="I1825">
        <v>24000</v>
      </c>
    </row>
    <row r="1826" spans="1:9" x14ac:dyDescent="0.3">
      <c r="A1826" s="1">
        <v>46030</v>
      </c>
      <c r="B1826">
        <v>2026</v>
      </c>
      <c r="C1826">
        <v>1</v>
      </c>
      <c r="D1826" t="s">
        <v>42</v>
      </c>
      <c r="E1826" t="s">
        <v>43</v>
      </c>
      <c r="F1826" t="s">
        <v>25</v>
      </c>
      <c r="G1826" t="s">
        <v>21</v>
      </c>
      <c r="H1826">
        <v>2</v>
      </c>
      <c r="I1826">
        <v>24000</v>
      </c>
    </row>
    <row r="1827" spans="1:9" x14ac:dyDescent="0.3">
      <c r="A1827" s="1">
        <v>46267</v>
      </c>
      <c r="B1827">
        <v>2026</v>
      </c>
      <c r="C1827">
        <v>9</v>
      </c>
      <c r="D1827" t="s">
        <v>40</v>
      </c>
      <c r="E1827" t="s">
        <v>41</v>
      </c>
      <c r="F1827" t="s">
        <v>25</v>
      </c>
      <c r="G1827" t="s">
        <v>21</v>
      </c>
      <c r="H1827">
        <v>3</v>
      </c>
      <c r="I1827">
        <v>36000</v>
      </c>
    </row>
    <row r="1828" spans="1:9" x14ac:dyDescent="0.3">
      <c r="A1828" s="1">
        <v>46043</v>
      </c>
      <c r="B1828">
        <v>2026</v>
      </c>
      <c r="C1828">
        <v>1</v>
      </c>
      <c r="D1828" t="s">
        <v>50</v>
      </c>
      <c r="E1828" t="s">
        <v>41</v>
      </c>
      <c r="F1828" t="s">
        <v>25</v>
      </c>
      <c r="G1828" t="s">
        <v>21</v>
      </c>
      <c r="H1828">
        <v>3</v>
      </c>
      <c r="I1828">
        <v>36000</v>
      </c>
    </row>
    <row r="1829" spans="1:9" x14ac:dyDescent="0.3">
      <c r="A1829" s="1">
        <v>46263</v>
      </c>
      <c r="B1829">
        <v>2026</v>
      </c>
      <c r="C1829">
        <v>8</v>
      </c>
      <c r="D1829" t="s">
        <v>40</v>
      </c>
      <c r="E1829" t="s">
        <v>41</v>
      </c>
      <c r="F1829" t="s">
        <v>25</v>
      </c>
      <c r="G1829" t="s">
        <v>21</v>
      </c>
      <c r="H1829">
        <v>1</v>
      </c>
      <c r="I1829">
        <v>12000</v>
      </c>
    </row>
    <row r="1830" spans="1:9" x14ac:dyDescent="0.3">
      <c r="A1830" s="1">
        <v>46056</v>
      </c>
      <c r="B1830">
        <v>2026</v>
      </c>
      <c r="C1830">
        <v>2</v>
      </c>
      <c r="D1830" t="s">
        <v>50</v>
      </c>
      <c r="E1830" t="s">
        <v>41</v>
      </c>
      <c r="F1830" t="s">
        <v>25</v>
      </c>
      <c r="G1830" t="s">
        <v>21</v>
      </c>
      <c r="H1830">
        <v>1</v>
      </c>
      <c r="I1830">
        <v>12000</v>
      </c>
    </row>
    <row r="1831" spans="1:9" x14ac:dyDescent="0.3">
      <c r="A1831" s="1">
        <v>46214</v>
      </c>
      <c r="B1831">
        <v>2026</v>
      </c>
      <c r="C1831">
        <v>7</v>
      </c>
      <c r="D1831" t="s">
        <v>44</v>
      </c>
      <c r="E1831" t="s">
        <v>45</v>
      </c>
      <c r="F1831" t="s">
        <v>25</v>
      </c>
      <c r="G1831" t="s">
        <v>21</v>
      </c>
      <c r="H1831">
        <v>1</v>
      </c>
      <c r="I1831">
        <v>12000</v>
      </c>
    </row>
    <row r="1832" spans="1:9" x14ac:dyDescent="0.3">
      <c r="A1832" s="1">
        <v>46038</v>
      </c>
      <c r="B1832">
        <v>2026</v>
      </c>
      <c r="C1832">
        <v>1</v>
      </c>
      <c r="D1832" t="s">
        <v>48</v>
      </c>
      <c r="E1832" t="s">
        <v>43</v>
      </c>
      <c r="F1832" t="s">
        <v>25</v>
      </c>
      <c r="G1832" t="s">
        <v>21</v>
      </c>
      <c r="H1832">
        <v>2</v>
      </c>
      <c r="I1832">
        <v>24000</v>
      </c>
    </row>
    <row r="1833" spans="1:9" x14ac:dyDescent="0.3">
      <c r="A1833" s="1">
        <v>46290</v>
      </c>
      <c r="B1833">
        <v>2026</v>
      </c>
      <c r="C1833">
        <v>9</v>
      </c>
      <c r="D1833" t="s">
        <v>48</v>
      </c>
      <c r="E1833" t="s">
        <v>43</v>
      </c>
      <c r="F1833" t="s">
        <v>25</v>
      </c>
      <c r="G1833" t="s">
        <v>21</v>
      </c>
      <c r="H1833">
        <v>5</v>
      </c>
      <c r="I1833">
        <v>60000</v>
      </c>
    </row>
    <row r="1834" spans="1:9" x14ac:dyDescent="0.3">
      <c r="A1834" s="1">
        <v>46111</v>
      </c>
      <c r="B1834">
        <v>2026</v>
      </c>
      <c r="C1834">
        <v>3</v>
      </c>
      <c r="D1834" t="s">
        <v>40</v>
      </c>
      <c r="E1834" t="s">
        <v>41</v>
      </c>
      <c r="F1834" t="s">
        <v>25</v>
      </c>
      <c r="G1834" t="s">
        <v>21</v>
      </c>
      <c r="H1834">
        <v>4</v>
      </c>
      <c r="I1834">
        <v>48000</v>
      </c>
    </row>
    <row r="1835" spans="1:9" x14ac:dyDescent="0.3">
      <c r="A1835" s="1">
        <v>46221</v>
      </c>
      <c r="B1835">
        <v>2026</v>
      </c>
      <c r="C1835">
        <v>7</v>
      </c>
      <c r="D1835" t="s">
        <v>49</v>
      </c>
      <c r="E1835" t="s">
        <v>47</v>
      </c>
      <c r="F1835" t="s">
        <v>25</v>
      </c>
      <c r="G1835" t="s">
        <v>21</v>
      </c>
      <c r="H1835">
        <v>4</v>
      </c>
      <c r="I1835">
        <v>48000</v>
      </c>
    </row>
    <row r="1836" spans="1:9" x14ac:dyDescent="0.3">
      <c r="A1836" s="1">
        <v>46259</v>
      </c>
      <c r="B1836">
        <v>2026</v>
      </c>
      <c r="C1836">
        <v>8</v>
      </c>
      <c r="D1836" t="s">
        <v>51</v>
      </c>
      <c r="E1836" t="s">
        <v>45</v>
      </c>
      <c r="F1836" t="s">
        <v>25</v>
      </c>
      <c r="G1836" t="s">
        <v>21</v>
      </c>
      <c r="H1836">
        <v>4</v>
      </c>
      <c r="I1836">
        <v>48000</v>
      </c>
    </row>
    <row r="1837" spans="1:9" x14ac:dyDescent="0.3">
      <c r="A1837" s="1">
        <v>46267</v>
      </c>
      <c r="B1837">
        <v>2026</v>
      </c>
      <c r="C1837">
        <v>9</v>
      </c>
      <c r="D1837" t="s">
        <v>40</v>
      </c>
      <c r="E1837" t="s">
        <v>41</v>
      </c>
      <c r="F1837" t="s">
        <v>25</v>
      </c>
      <c r="G1837" t="s">
        <v>21</v>
      </c>
      <c r="H1837">
        <v>1</v>
      </c>
      <c r="I1837">
        <v>12000</v>
      </c>
    </row>
    <row r="1838" spans="1:9" x14ac:dyDescent="0.3">
      <c r="A1838" s="1">
        <v>46100</v>
      </c>
      <c r="B1838">
        <v>2026</v>
      </c>
      <c r="C1838">
        <v>3</v>
      </c>
      <c r="D1838" t="s">
        <v>50</v>
      </c>
      <c r="E1838" t="s">
        <v>41</v>
      </c>
      <c r="F1838" t="s">
        <v>25</v>
      </c>
      <c r="G1838" t="s">
        <v>21</v>
      </c>
      <c r="H1838">
        <v>2</v>
      </c>
      <c r="I1838">
        <v>24000</v>
      </c>
    </row>
    <row r="1839" spans="1:9" x14ac:dyDescent="0.3">
      <c r="A1839" s="1">
        <v>46169</v>
      </c>
      <c r="B1839">
        <v>2026</v>
      </c>
      <c r="C1839">
        <v>5</v>
      </c>
      <c r="D1839" t="s">
        <v>46</v>
      </c>
      <c r="E1839" t="s">
        <v>47</v>
      </c>
      <c r="F1839" t="s">
        <v>25</v>
      </c>
      <c r="G1839" t="s">
        <v>21</v>
      </c>
      <c r="H1839">
        <v>5</v>
      </c>
      <c r="I1839">
        <v>60000</v>
      </c>
    </row>
    <row r="1840" spans="1:9" x14ac:dyDescent="0.3">
      <c r="A1840" s="1">
        <v>46228</v>
      </c>
      <c r="B1840">
        <v>2026</v>
      </c>
      <c r="C1840">
        <v>7</v>
      </c>
      <c r="D1840" t="s">
        <v>40</v>
      </c>
      <c r="E1840" t="s">
        <v>41</v>
      </c>
      <c r="F1840" t="s">
        <v>25</v>
      </c>
      <c r="G1840" t="s">
        <v>21</v>
      </c>
      <c r="H1840">
        <v>1</v>
      </c>
      <c r="I1840">
        <v>12000</v>
      </c>
    </row>
    <row r="1841" spans="1:9" x14ac:dyDescent="0.3">
      <c r="A1841" s="1">
        <v>46225</v>
      </c>
      <c r="B1841">
        <v>2026</v>
      </c>
      <c r="C1841">
        <v>7</v>
      </c>
      <c r="D1841" t="s">
        <v>40</v>
      </c>
      <c r="E1841" t="s">
        <v>41</v>
      </c>
      <c r="F1841" t="s">
        <v>25</v>
      </c>
      <c r="G1841" t="s">
        <v>21</v>
      </c>
      <c r="H1841">
        <v>2</v>
      </c>
      <c r="I1841">
        <v>24000</v>
      </c>
    </row>
    <row r="1842" spans="1:9" x14ac:dyDescent="0.3">
      <c r="A1842" s="1">
        <v>46206</v>
      </c>
      <c r="B1842">
        <v>2026</v>
      </c>
      <c r="C1842">
        <v>7</v>
      </c>
      <c r="D1842" t="s">
        <v>40</v>
      </c>
      <c r="E1842" t="s">
        <v>41</v>
      </c>
      <c r="F1842" t="s">
        <v>25</v>
      </c>
      <c r="G1842" t="s">
        <v>21</v>
      </c>
      <c r="H1842">
        <v>1</v>
      </c>
      <c r="I1842">
        <v>12000</v>
      </c>
    </row>
    <row r="1843" spans="1:9" x14ac:dyDescent="0.3">
      <c r="A1843" s="1">
        <v>46284</v>
      </c>
      <c r="B1843">
        <v>2026</v>
      </c>
      <c r="C1843">
        <v>9</v>
      </c>
      <c r="D1843" t="s">
        <v>51</v>
      </c>
      <c r="E1843" t="s">
        <v>45</v>
      </c>
      <c r="F1843" t="s">
        <v>25</v>
      </c>
      <c r="G1843" t="s">
        <v>21</v>
      </c>
      <c r="H1843">
        <v>4</v>
      </c>
      <c r="I1843">
        <v>48000</v>
      </c>
    </row>
    <row r="1844" spans="1:9" x14ac:dyDescent="0.3">
      <c r="A1844" s="1">
        <v>46267</v>
      </c>
      <c r="B1844">
        <v>2026</v>
      </c>
      <c r="C1844">
        <v>9</v>
      </c>
      <c r="D1844" t="s">
        <v>49</v>
      </c>
      <c r="E1844" t="s">
        <v>47</v>
      </c>
      <c r="F1844" t="s">
        <v>25</v>
      </c>
      <c r="G1844" t="s">
        <v>21</v>
      </c>
      <c r="H1844">
        <v>1</v>
      </c>
      <c r="I1844">
        <v>12000</v>
      </c>
    </row>
    <row r="1845" spans="1:9" x14ac:dyDescent="0.3">
      <c r="A1845" s="1">
        <v>46167</v>
      </c>
      <c r="B1845">
        <v>2026</v>
      </c>
      <c r="C1845">
        <v>5</v>
      </c>
      <c r="D1845" t="s">
        <v>46</v>
      </c>
      <c r="E1845" t="s">
        <v>47</v>
      </c>
      <c r="F1845" t="s">
        <v>25</v>
      </c>
      <c r="G1845" t="s">
        <v>21</v>
      </c>
      <c r="H1845">
        <v>1</v>
      </c>
      <c r="I1845">
        <v>12000</v>
      </c>
    </row>
    <row r="1846" spans="1:9" x14ac:dyDescent="0.3">
      <c r="A1846" s="1">
        <v>46166</v>
      </c>
      <c r="B1846">
        <v>2026</v>
      </c>
      <c r="C1846">
        <v>5</v>
      </c>
      <c r="D1846" t="s">
        <v>42</v>
      </c>
      <c r="E1846" t="s">
        <v>43</v>
      </c>
      <c r="F1846" t="s">
        <v>25</v>
      </c>
      <c r="G1846" t="s">
        <v>21</v>
      </c>
      <c r="H1846">
        <v>3</v>
      </c>
      <c r="I1846">
        <v>36000</v>
      </c>
    </row>
    <row r="1847" spans="1:9" x14ac:dyDescent="0.3">
      <c r="A1847" s="1">
        <v>46112</v>
      </c>
      <c r="B1847">
        <v>2026</v>
      </c>
      <c r="C1847">
        <v>3</v>
      </c>
      <c r="D1847" t="s">
        <v>44</v>
      </c>
      <c r="E1847" t="s">
        <v>45</v>
      </c>
      <c r="F1847" t="s">
        <v>25</v>
      </c>
      <c r="G1847" t="s">
        <v>21</v>
      </c>
      <c r="H1847">
        <v>3</v>
      </c>
      <c r="I1847">
        <v>36000</v>
      </c>
    </row>
    <row r="1848" spans="1:9" x14ac:dyDescent="0.3">
      <c r="A1848" s="1">
        <v>46206</v>
      </c>
      <c r="B1848">
        <v>2026</v>
      </c>
      <c r="C1848">
        <v>7</v>
      </c>
      <c r="D1848" t="s">
        <v>49</v>
      </c>
      <c r="E1848" t="s">
        <v>47</v>
      </c>
      <c r="F1848" t="s">
        <v>25</v>
      </c>
      <c r="G1848" t="s">
        <v>21</v>
      </c>
      <c r="H1848">
        <v>1</v>
      </c>
      <c r="I1848">
        <v>12000</v>
      </c>
    </row>
    <row r="1849" spans="1:9" x14ac:dyDescent="0.3">
      <c r="A1849" s="1">
        <v>46129</v>
      </c>
      <c r="B1849">
        <v>2026</v>
      </c>
      <c r="C1849">
        <v>4</v>
      </c>
      <c r="D1849" t="s">
        <v>46</v>
      </c>
      <c r="E1849" t="s">
        <v>47</v>
      </c>
      <c r="F1849" t="s">
        <v>25</v>
      </c>
      <c r="G1849" t="s">
        <v>21</v>
      </c>
      <c r="H1849">
        <v>5</v>
      </c>
      <c r="I1849">
        <v>60000</v>
      </c>
    </row>
    <row r="1850" spans="1:9" x14ac:dyDescent="0.3">
      <c r="A1850" s="1">
        <v>46292</v>
      </c>
      <c r="B1850">
        <v>2026</v>
      </c>
      <c r="C1850">
        <v>9</v>
      </c>
      <c r="D1850" t="s">
        <v>51</v>
      </c>
      <c r="E1850" t="s">
        <v>45</v>
      </c>
      <c r="F1850" t="s">
        <v>25</v>
      </c>
      <c r="G1850" t="s">
        <v>21</v>
      </c>
      <c r="H1850">
        <v>3</v>
      </c>
      <c r="I1850">
        <v>36000</v>
      </c>
    </row>
    <row r="1851" spans="1:9" x14ac:dyDescent="0.3">
      <c r="A1851" s="1">
        <v>46239</v>
      </c>
      <c r="B1851">
        <v>2026</v>
      </c>
      <c r="C1851">
        <v>8</v>
      </c>
      <c r="D1851" t="s">
        <v>44</v>
      </c>
      <c r="E1851" t="s">
        <v>45</v>
      </c>
      <c r="F1851" t="s">
        <v>25</v>
      </c>
      <c r="G1851" t="s">
        <v>21</v>
      </c>
      <c r="H1851">
        <v>4</v>
      </c>
      <c r="I1851">
        <v>48000</v>
      </c>
    </row>
    <row r="1852" spans="1:9" x14ac:dyDescent="0.3">
      <c r="A1852" s="1">
        <v>46219</v>
      </c>
      <c r="B1852">
        <v>2026</v>
      </c>
      <c r="C1852">
        <v>7</v>
      </c>
      <c r="D1852" t="s">
        <v>42</v>
      </c>
      <c r="E1852" t="s">
        <v>43</v>
      </c>
      <c r="F1852" t="s">
        <v>25</v>
      </c>
      <c r="G1852" t="s">
        <v>21</v>
      </c>
      <c r="H1852">
        <v>4</v>
      </c>
      <c r="I1852">
        <v>48000</v>
      </c>
    </row>
    <row r="1853" spans="1:9" x14ac:dyDescent="0.3">
      <c r="A1853" s="1">
        <v>46114</v>
      </c>
      <c r="B1853">
        <v>2026</v>
      </c>
      <c r="C1853">
        <v>4</v>
      </c>
      <c r="D1853" t="s">
        <v>51</v>
      </c>
      <c r="E1853" t="s">
        <v>45</v>
      </c>
      <c r="F1853" t="s">
        <v>25</v>
      </c>
      <c r="G1853" t="s">
        <v>21</v>
      </c>
      <c r="H1853">
        <v>2</v>
      </c>
      <c r="I1853">
        <v>24000</v>
      </c>
    </row>
    <row r="1854" spans="1:9" x14ac:dyDescent="0.3">
      <c r="A1854" s="1">
        <v>46054</v>
      </c>
      <c r="B1854">
        <v>2026</v>
      </c>
      <c r="C1854">
        <v>2</v>
      </c>
      <c r="D1854" t="s">
        <v>48</v>
      </c>
      <c r="E1854" t="s">
        <v>43</v>
      </c>
      <c r="F1854" t="s">
        <v>25</v>
      </c>
      <c r="G1854" t="s">
        <v>21</v>
      </c>
      <c r="H1854">
        <v>4</v>
      </c>
      <c r="I1854">
        <v>48000</v>
      </c>
    </row>
    <row r="1855" spans="1:9" x14ac:dyDescent="0.3">
      <c r="A1855" s="1">
        <v>46083</v>
      </c>
      <c r="B1855">
        <v>2026</v>
      </c>
      <c r="C1855">
        <v>3</v>
      </c>
      <c r="D1855" t="s">
        <v>40</v>
      </c>
      <c r="E1855" t="s">
        <v>41</v>
      </c>
      <c r="F1855" t="s">
        <v>25</v>
      </c>
      <c r="G1855" t="s">
        <v>21</v>
      </c>
      <c r="H1855">
        <v>4</v>
      </c>
      <c r="I1855">
        <v>48000</v>
      </c>
    </row>
    <row r="1856" spans="1:9" x14ac:dyDescent="0.3">
      <c r="A1856" s="1">
        <v>46070</v>
      </c>
      <c r="B1856">
        <v>2026</v>
      </c>
      <c r="C1856">
        <v>2</v>
      </c>
      <c r="D1856" t="s">
        <v>48</v>
      </c>
      <c r="E1856" t="s">
        <v>43</v>
      </c>
      <c r="F1856" t="s">
        <v>25</v>
      </c>
      <c r="G1856" t="s">
        <v>21</v>
      </c>
      <c r="H1856">
        <v>5</v>
      </c>
      <c r="I1856">
        <v>60000</v>
      </c>
    </row>
    <row r="1857" spans="1:9" x14ac:dyDescent="0.3">
      <c r="A1857" s="1">
        <v>46227</v>
      </c>
      <c r="B1857">
        <v>2026</v>
      </c>
      <c r="C1857">
        <v>7</v>
      </c>
      <c r="D1857" t="s">
        <v>42</v>
      </c>
      <c r="E1857" t="s">
        <v>43</v>
      </c>
      <c r="F1857" t="s">
        <v>25</v>
      </c>
      <c r="G1857" t="s">
        <v>21</v>
      </c>
      <c r="H1857">
        <v>5</v>
      </c>
      <c r="I1857">
        <v>60000</v>
      </c>
    </row>
    <row r="1858" spans="1:9" x14ac:dyDescent="0.3">
      <c r="A1858" s="1">
        <v>46288</v>
      </c>
      <c r="B1858">
        <v>2026</v>
      </c>
      <c r="C1858">
        <v>9</v>
      </c>
      <c r="D1858" t="s">
        <v>42</v>
      </c>
      <c r="E1858" t="s">
        <v>43</v>
      </c>
      <c r="F1858" t="s">
        <v>25</v>
      </c>
      <c r="G1858" t="s">
        <v>21</v>
      </c>
      <c r="H1858">
        <v>4</v>
      </c>
      <c r="I1858">
        <v>48000</v>
      </c>
    </row>
    <row r="1859" spans="1:9" x14ac:dyDescent="0.3">
      <c r="A1859" s="1">
        <v>46242</v>
      </c>
      <c r="B1859">
        <v>2026</v>
      </c>
      <c r="C1859">
        <v>8</v>
      </c>
      <c r="D1859" t="s">
        <v>44</v>
      </c>
      <c r="E1859" t="s">
        <v>45</v>
      </c>
      <c r="F1859" t="s">
        <v>25</v>
      </c>
      <c r="G1859" t="s">
        <v>21</v>
      </c>
      <c r="H1859">
        <v>1</v>
      </c>
      <c r="I1859">
        <v>12000</v>
      </c>
    </row>
    <row r="1860" spans="1:9" x14ac:dyDescent="0.3">
      <c r="A1860" s="1">
        <v>46321</v>
      </c>
      <c r="B1860">
        <v>2026</v>
      </c>
      <c r="C1860">
        <v>10</v>
      </c>
      <c r="D1860" t="s">
        <v>42</v>
      </c>
      <c r="E1860" t="s">
        <v>43</v>
      </c>
      <c r="F1860" t="s">
        <v>25</v>
      </c>
      <c r="G1860" t="s">
        <v>21</v>
      </c>
      <c r="H1860">
        <v>5</v>
      </c>
      <c r="I1860">
        <v>60000</v>
      </c>
    </row>
    <row r="1861" spans="1:9" x14ac:dyDescent="0.3">
      <c r="A1861" s="1">
        <v>46093</v>
      </c>
      <c r="B1861">
        <v>2026</v>
      </c>
      <c r="C1861">
        <v>3</v>
      </c>
      <c r="D1861" t="s">
        <v>44</v>
      </c>
      <c r="E1861" t="s">
        <v>45</v>
      </c>
      <c r="F1861" t="s">
        <v>25</v>
      </c>
      <c r="G1861" t="s">
        <v>21</v>
      </c>
      <c r="H1861">
        <v>1</v>
      </c>
      <c r="I1861">
        <v>12000</v>
      </c>
    </row>
    <row r="1862" spans="1:9" x14ac:dyDescent="0.3">
      <c r="A1862" s="1">
        <v>46143</v>
      </c>
      <c r="B1862">
        <v>2026</v>
      </c>
      <c r="C1862">
        <v>5</v>
      </c>
      <c r="D1862" t="s">
        <v>51</v>
      </c>
      <c r="E1862" t="s">
        <v>45</v>
      </c>
      <c r="F1862" t="s">
        <v>25</v>
      </c>
      <c r="G1862" t="s">
        <v>21</v>
      </c>
      <c r="H1862">
        <v>4</v>
      </c>
      <c r="I1862">
        <v>48000</v>
      </c>
    </row>
    <row r="1863" spans="1:9" x14ac:dyDescent="0.3">
      <c r="A1863" s="1">
        <v>46085</v>
      </c>
      <c r="B1863">
        <v>2026</v>
      </c>
      <c r="C1863">
        <v>3</v>
      </c>
      <c r="D1863" t="s">
        <v>50</v>
      </c>
      <c r="E1863" t="s">
        <v>41</v>
      </c>
      <c r="F1863" t="s">
        <v>25</v>
      </c>
      <c r="G1863" t="s">
        <v>21</v>
      </c>
      <c r="H1863">
        <v>5</v>
      </c>
      <c r="I1863">
        <v>60000</v>
      </c>
    </row>
    <row r="1864" spans="1:9" x14ac:dyDescent="0.3">
      <c r="A1864" s="1">
        <v>46251</v>
      </c>
      <c r="B1864">
        <v>2026</v>
      </c>
      <c r="C1864">
        <v>8</v>
      </c>
      <c r="D1864" t="s">
        <v>50</v>
      </c>
      <c r="E1864" t="s">
        <v>41</v>
      </c>
      <c r="F1864" t="s">
        <v>25</v>
      </c>
      <c r="G1864" t="s">
        <v>21</v>
      </c>
      <c r="H1864">
        <v>2</v>
      </c>
      <c r="I1864">
        <v>24000</v>
      </c>
    </row>
    <row r="1865" spans="1:9" x14ac:dyDescent="0.3">
      <c r="A1865" s="1">
        <v>46076</v>
      </c>
      <c r="B1865">
        <v>2026</v>
      </c>
      <c r="C1865">
        <v>2</v>
      </c>
      <c r="D1865" t="s">
        <v>50</v>
      </c>
      <c r="E1865" t="s">
        <v>41</v>
      </c>
      <c r="F1865" t="s">
        <v>25</v>
      </c>
      <c r="G1865" t="s">
        <v>21</v>
      </c>
      <c r="H1865">
        <v>1</v>
      </c>
      <c r="I1865">
        <v>12000</v>
      </c>
    </row>
    <row r="1866" spans="1:9" x14ac:dyDescent="0.3">
      <c r="A1866" s="1">
        <v>46281</v>
      </c>
      <c r="B1866">
        <v>2026</v>
      </c>
      <c r="C1866">
        <v>9</v>
      </c>
      <c r="D1866" t="s">
        <v>44</v>
      </c>
      <c r="E1866" t="s">
        <v>45</v>
      </c>
      <c r="F1866" t="s">
        <v>25</v>
      </c>
      <c r="G1866" t="s">
        <v>21</v>
      </c>
      <c r="H1866">
        <v>4</v>
      </c>
      <c r="I1866">
        <v>48000</v>
      </c>
    </row>
    <row r="1867" spans="1:9" x14ac:dyDescent="0.3">
      <c r="A1867" s="1">
        <v>46162</v>
      </c>
      <c r="B1867">
        <v>2026</v>
      </c>
      <c r="C1867">
        <v>5</v>
      </c>
      <c r="D1867" t="s">
        <v>49</v>
      </c>
      <c r="E1867" t="s">
        <v>47</v>
      </c>
      <c r="F1867" t="s">
        <v>25</v>
      </c>
      <c r="G1867" t="s">
        <v>21</v>
      </c>
      <c r="H1867">
        <v>2</v>
      </c>
      <c r="I1867">
        <v>24000</v>
      </c>
    </row>
    <row r="1868" spans="1:9" x14ac:dyDescent="0.3">
      <c r="A1868" s="1">
        <v>46237</v>
      </c>
      <c r="B1868">
        <v>2026</v>
      </c>
      <c r="C1868">
        <v>8</v>
      </c>
      <c r="D1868" t="s">
        <v>46</v>
      </c>
      <c r="E1868" t="s">
        <v>47</v>
      </c>
      <c r="F1868" t="s">
        <v>25</v>
      </c>
      <c r="G1868" t="s">
        <v>21</v>
      </c>
      <c r="H1868">
        <v>3</v>
      </c>
      <c r="I1868">
        <v>36000</v>
      </c>
    </row>
    <row r="1869" spans="1:9" x14ac:dyDescent="0.3">
      <c r="A1869" s="1">
        <v>46244</v>
      </c>
      <c r="B1869">
        <v>2026</v>
      </c>
      <c r="C1869">
        <v>8</v>
      </c>
      <c r="D1869" t="s">
        <v>40</v>
      </c>
      <c r="E1869" t="s">
        <v>41</v>
      </c>
      <c r="F1869" t="s">
        <v>25</v>
      </c>
      <c r="G1869" t="s">
        <v>21</v>
      </c>
      <c r="H1869">
        <v>4</v>
      </c>
      <c r="I1869">
        <v>48000</v>
      </c>
    </row>
    <row r="1870" spans="1:9" x14ac:dyDescent="0.3">
      <c r="A1870" s="1">
        <v>46292</v>
      </c>
      <c r="B1870">
        <v>2026</v>
      </c>
      <c r="C1870">
        <v>9</v>
      </c>
      <c r="D1870" t="s">
        <v>50</v>
      </c>
      <c r="E1870" t="s">
        <v>41</v>
      </c>
      <c r="F1870" t="s">
        <v>25</v>
      </c>
      <c r="G1870" t="s">
        <v>21</v>
      </c>
      <c r="H1870">
        <v>4</v>
      </c>
      <c r="I1870">
        <v>48000</v>
      </c>
    </row>
    <row r="1871" spans="1:9" x14ac:dyDescent="0.3">
      <c r="A1871" s="1">
        <v>46283</v>
      </c>
      <c r="B1871">
        <v>2026</v>
      </c>
      <c r="C1871">
        <v>9</v>
      </c>
      <c r="D1871" t="s">
        <v>51</v>
      </c>
      <c r="E1871" t="s">
        <v>45</v>
      </c>
      <c r="F1871" t="s">
        <v>25</v>
      </c>
      <c r="G1871" t="s">
        <v>21</v>
      </c>
      <c r="H1871">
        <v>4</v>
      </c>
      <c r="I1871">
        <v>48000</v>
      </c>
    </row>
    <row r="1872" spans="1:9" x14ac:dyDescent="0.3">
      <c r="A1872" s="1">
        <v>46163</v>
      </c>
      <c r="B1872">
        <v>2026</v>
      </c>
      <c r="C1872">
        <v>5</v>
      </c>
      <c r="D1872" t="s">
        <v>48</v>
      </c>
      <c r="E1872" t="s">
        <v>43</v>
      </c>
      <c r="F1872" t="s">
        <v>25</v>
      </c>
      <c r="G1872" t="s">
        <v>21</v>
      </c>
      <c r="H1872">
        <v>5</v>
      </c>
      <c r="I1872">
        <v>60000</v>
      </c>
    </row>
    <row r="1873" spans="1:9" x14ac:dyDescent="0.3">
      <c r="A1873" s="1">
        <v>46059</v>
      </c>
      <c r="B1873">
        <v>2026</v>
      </c>
      <c r="C1873">
        <v>2</v>
      </c>
      <c r="D1873" t="s">
        <v>42</v>
      </c>
      <c r="E1873" t="s">
        <v>43</v>
      </c>
      <c r="F1873" t="s">
        <v>25</v>
      </c>
      <c r="G1873" t="s">
        <v>21</v>
      </c>
      <c r="H1873">
        <v>4</v>
      </c>
      <c r="I1873">
        <v>48000</v>
      </c>
    </row>
    <row r="1874" spans="1:9" x14ac:dyDescent="0.3">
      <c r="A1874" s="1">
        <v>46062</v>
      </c>
      <c r="B1874">
        <v>2026</v>
      </c>
      <c r="C1874">
        <v>2</v>
      </c>
      <c r="D1874" t="s">
        <v>40</v>
      </c>
      <c r="E1874" t="s">
        <v>41</v>
      </c>
      <c r="F1874" t="s">
        <v>25</v>
      </c>
      <c r="G1874" t="s">
        <v>21</v>
      </c>
      <c r="H1874">
        <v>4</v>
      </c>
      <c r="I1874">
        <v>48000</v>
      </c>
    </row>
    <row r="1875" spans="1:9" x14ac:dyDescent="0.3">
      <c r="A1875" s="1">
        <v>46041</v>
      </c>
      <c r="B1875">
        <v>2026</v>
      </c>
      <c r="C1875">
        <v>1</v>
      </c>
      <c r="D1875" t="s">
        <v>40</v>
      </c>
      <c r="E1875" t="s">
        <v>41</v>
      </c>
      <c r="F1875" t="s">
        <v>25</v>
      </c>
      <c r="G1875" t="s">
        <v>21</v>
      </c>
      <c r="H1875">
        <v>3</v>
      </c>
      <c r="I1875">
        <v>36000</v>
      </c>
    </row>
    <row r="1876" spans="1:9" x14ac:dyDescent="0.3">
      <c r="A1876" s="1">
        <v>46154</v>
      </c>
      <c r="B1876">
        <v>2026</v>
      </c>
      <c r="C1876">
        <v>5</v>
      </c>
      <c r="D1876" t="s">
        <v>40</v>
      </c>
      <c r="E1876" t="s">
        <v>41</v>
      </c>
      <c r="F1876" t="s">
        <v>25</v>
      </c>
      <c r="G1876" t="s">
        <v>21</v>
      </c>
      <c r="H1876">
        <v>5</v>
      </c>
      <c r="I1876">
        <v>60000</v>
      </c>
    </row>
    <row r="1877" spans="1:9" x14ac:dyDescent="0.3">
      <c r="A1877" s="1">
        <v>46322</v>
      </c>
      <c r="B1877">
        <v>2026</v>
      </c>
      <c r="C1877">
        <v>10</v>
      </c>
      <c r="D1877" t="s">
        <v>49</v>
      </c>
      <c r="E1877" t="s">
        <v>47</v>
      </c>
      <c r="F1877" t="s">
        <v>25</v>
      </c>
      <c r="G1877" t="s">
        <v>21</v>
      </c>
      <c r="H1877">
        <v>3</v>
      </c>
      <c r="I1877">
        <v>36000</v>
      </c>
    </row>
    <row r="1878" spans="1:9" x14ac:dyDescent="0.3">
      <c r="A1878" s="1">
        <v>46113</v>
      </c>
      <c r="B1878">
        <v>2026</v>
      </c>
      <c r="C1878">
        <v>4</v>
      </c>
      <c r="D1878" t="s">
        <v>46</v>
      </c>
      <c r="E1878" t="s">
        <v>47</v>
      </c>
      <c r="F1878" t="s">
        <v>25</v>
      </c>
      <c r="G1878" t="s">
        <v>21</v>
      </c>
      <c r="H1878">
        <v>1</v>
      </c>
      <c r="I1878">
        <v>12000</v>
      </c>
    </row>
    <row r="1879" spans="1:9" x14ac:dyDescent="0.3">
      <c r="A1879" s="1">
        <v>46259</v>
      </c>
      <c r="B1879">
        <v>2026</v>
      </c>
      <c r="C1879">
        <v>8</v>
      </c>
      <c r="D1879" t="s">
        <v>49</v>
      </c>
      <c r="E1879" t="s">
        <v>47</v>
      </c>
      <c r="F1879" t="s">
        <v>25</v>
      </c>
      <c r="G1879" t="s">
        <v>21</v>
      </c>
      <c r="H1879">
        <v>4</v>
      </c>
      <c r="I1879">
        <v>48000</v>
      </c>
    </row>
    <row r="1880" spans="1:9" x14ac:dyDescent="0.3">
      <c r="A1880" s="1">
        <v>46059</v>
      </c>
      <c r="B1880">
        <v>2026</v>
      </c>
      <c r="C1880">
        <v>2</v>
      </c>
      <c r="D1880" t="s">
        <v>44</v>
      </c>
      <c r="E1880" t="s">
        <v>45</v>
      </c>
      <c r="F1880" t="s">
        <v>25</v>
      </c>
      <c r="G1880" t="s">
        <v>21</v>
      </c>
      <c r="H1880">
        <v>3</v>
      </c>
      <c r="I1880">
        <v>36000</v>
      </c>
    </row>
    <row r="1881" spans="1:9" x14ac:dyDescent="0.3">
      <c r="A1881" s="1">
        <v>46080</v>
      </c>
      <c r="B1881">
        <v>2026</v>
      </c>
      <c r="C1881">
        <v>2</v>
      </c>
      <c r="D1881" t="s">
        <v>48</v>
      </c>
      <c r="E1881" t="s">
        <v>43</v>
      </c>
      <c r="F1881" t="s">
        <v>25</v>
      </c>
      <c r="G1881" t="s">
        <v>21</v>
      </c>
      <c r="H1881">
        <v>4</v>
      </c>
      <c r="I1881">
        <v>48000</v>
      </c>
    </row>
    <row r="1882" spans="1:9" x14ac:dyDescent="0.3">
      <c r="A1882" s="1">
        <v>46255</v>
      </c>
      <c r="B1882">
        <v>2026</v>
      </c>
      <c r="C1882">
        <v>8</v>
      </c>
      <c r="D1882" t="s">
        <v>46</v>
      </c>
      <c r="E1882" t="s">
        <v>47</v>
      </c>
      <c r="F1882" t="s">
        <v>25</v>
      </c>
      <c r="G1882" t="s">
        <v>21</v>
      </c>
      <c r="H1882">
        <v>5</v>
      </c>
      <c r="I1882">
        <v>60000</v>
      </c>
    </row>
    <row r="1883" spans="1:9" x14ac:dyDescent="0.3">
      <c r="A1883" s="1">
        <v>46162</v>
      </c>
      <c r="B1883">
        <v>2026</v>
      </c>
      <c r="C1883">
        <v>5</v>
      </c>
      <c r="D1883" t="s">
        <v>49</v>
      </c>
      <c r="E1883" t="s">
        <v>47</v>
      </c>
      <c r="F1883" t="s">
        <v>25</v>
      </c>
      <c r="G1883" t="s">
        <v>21</v>
      </c>
      <c r="H1883">
        <v>3</v>
      </c>
      <c r="I1883">
        <v>36000</v>
      </c>
    </row>
    <row r="1884" spans="1:9" x14ac:dyDescent="0.3">
      <c r="A1884" s="1">
        <v>46126</v>
      </c>
      <c r="B1884">
        <v>2026</v>
      </c>
      <c r="C1884">
        <v>4</v>
      </c>
      <c r="D1884" t="s">
        <v>49</v>
      </c>
      <c r="E1884" t="s">
        <v>47</v>
      </c>
      <c r="F1884" t="s">
        <v>25</v>
      </c>
      <c r="G1884" t="s">
        <v>21</v>
      </c>
      <c r="H1884">
        <v>5</v>
      </c>
      <c r="I1884">
        <v>60000</v>
      </c>
    </row>
    <row r="1885" spans="1:9" x14ac:dyDescent="0.3">
      <c r="A1885" s="1">
        <v>46261</v>
      </c>
      <c r="B1885">
        <v>2026</v>
      </c>
      <c r="C1885">
        <v>8</v>
      </c>
      <c r="D1885" t="s">
        <v>51</v>
      </c>
      <c r="E1885" t="s">
        <v>45</v>
      </c>
      <c r="F1885" t="s">
        <v>25</v>
      </c>
      <c r="G1885" t="s">
        <v>21</v>
      </c>
      <c r="H1885">
        <v>3</v>
      </c>
      <c r="I1885">
        <v>36000</v>
      </c>
    </row>
    <row r="1886" spans="1:9" x14ac:dyDescent="0.3">
      <c r="A1886" s="1">
        <v>46076</v>
      </c>
      <c r="B1886">
        <v>2026</v>
      </c>
      <c r="C1886">
        <v>2</v>
      </c>
      <c r="D1886" t="s">
        <v>51</v>
      </c>
      <c r="E1886" t="s">
        <v>45</v>
      </c>
      <c r="F1886" t="s">
        <v>25</v>
      </c>
      <c r="G1886" t="s">
        <v>21</v>
      </c>
      <c r="H1886">
        <v>3</v>
      </c>
      <c r="I1886">
        <v>36000</v>
      </c>
    </row>
    <row r="1887" spans="1:9" x14ac:dyDescent="0.3">
      <c r="A1887" s="1">
        <v>46229</v>
      </c>
      <c r="B1887">
        <v>2026</v>
      </c>
      <c r="C1887">
        <v>7</v>
      </c>
      <c r="D1887" t="s">
        <v>44</v>
      </c>
      <c r="E1887" t="s">
        <v>45</v>
      </c>
      <c r="F1887" t="s">
        <v>25</v>
      </c>
      <c r="G1887" t="s">
        <v>21</v>
      </c>
      <c r="H1887">
        <v>5</v>
      </c>
      <c r="I1887">
        <v>60000</v>
      </c>
    </row>
    <row r="1888" spans="1:9" x14ac:dyDescent="0.3">
      <c r="A1888" s="1">
        <v>46252</v>
      </c>
      <c r="B1888">
        <v>2026</v>
      </c>
      <c r="C1888">
        <v>8</v>
      </c>
      <c r="D1888" t="s">
        <v>48</v>
      </c>
      <c r="E1888" t="s">
        <v>43</v>
      </c>
      <c r="F1888" t="s">
        <v>25</v>
      </c>
      <c r="G1888" t="s">
        <v>21</v>
      </c>
      <c r="H1888">
        <v>2</v>
      </c>
      <c r="I1888">
        <v>24000</v>
      </c>
    </row>
    <row r="1889" spans="1:9" x14ac:dyDescent="0.3">
      <c r="A1889" s="1">
        <v>46227</v>
      </c>
      <c r="B1889">
        <v>2026</v>
      </c>
      <c r="C1889">
        <v>7</v>
      </c>
      <c r="D1889" t="s">
        <v>46</v>
      </c>
      <c r="E1889" t="s">
        <v>47</v>
      </c>
      <c r="F1889" t="s">
        <v>25</v>
      </c>
      <c r="G1889" t="s">
        <v>21</v>
      </c>
      <c r="H1889">
        <v>1</v>
      </c>
      <c r="I1889">
        <v>12000</v>
      </c>
    </row>
    <row r="1890" spans="1:9" x14ac:dyDescent="0.3">
      <c r="A1890" s="1">
        <v>46323</v>
      </c>
      <c r="B1890">
        <v>2026</v>
      </c>
      <c r="C1890">
        <v>10</v>
      </c>
      <c r="D1890" t="s">
        <v>44</v>
      </c>
      <c r="E1890" t="s">
        <v>45</v>
      </c>
      <c r="F1890" t="s">
        <v>25</v>
      </c>
      <c r="G1890" t="s">
        <v>21</v>
      </c>
      <c r="H1890">
        <v>4</v>
      </c>
      <c r="I1890">
        <v>48000</v>
      </c>
    </row>
    <row r="1891" spans="1:9" x14ac:dyDescent="0.3">
      <c r="A1891" s="1">
        <v>46179</v>
      </c>
      <c r="B1891">
        <v>2026</v>
      </c>
      <c r="C1891">
        <v>6</v>
      </c>
      <c r="D1891" t="s">
        <v>49</v>
      </c>
      <c r="E1891" t="s">
        <v>47</v>
      </c>
      <c r="F1891" t="s">
        <v>25</v>
      </c>
      <c r="G1891" t="s">
        <v>21</v>
      </c>
      <c r="H1891">
        <v>1</v>
      </c>
      <c r="I1891">
        <v>12000</v>
      </c>
    </row>
    <row r="1892" spans="1:9" x14ac:dyDescent="0.3">
      <c r="A1892" s="1">
        <v>46241</v>
      </c>
      <c r="B1892">
        <v>2026</v>
      </c>
      <c r="C1892">
        <v>8</v>
      </c>
      <c r="D1892" t="s">
        <v>49</v>
      </c>
      <c r="E1892" t="s">
        <v>47</v>
      </c>
      <c r="F1892" t="s">
        <v>25</v>
      </c>
      <c r="G1892" t="s">
        <v>21</v>
      </c>
      <c r="H1892">
        <v>5</v>
      </c>
      <c r="I1892">
        <v>60000</v>
      </c>
    </row>
    <row r="1893" spans="1:9" x14ac:dyDescent="0.3">
      <c r="A1893" s="1">
        <v>46245</v>
      </c>
      <c r="B1893">
        <v>2026</v>
      </c>
      <c r="C1893">
        <v>8</v>
      </c>
      <c r="D1893" t="s">
        <v>46</v>
      </c>
      <c r="E1893" t="s">
        <v>47</v>
      </c>
      <c r="F1893" t="s">
        <v>25</v>
      </c>
      <c r="G1893" t="s">
        <v>21</v>
      </c>
      <c r="H1893">
        <v>1</v>
      </c>
      <c r="I1893">
        <v>12000</v>
      </c>
    </row>
    <row r="1894" spans="1:9" x14ac:dyDescent="0.3">
      <c r="A1894" s="1">
        <v>46027</v>
      </c>
      <c r="B1894">
        <v>2026</v>
      </c>
      <c r="C1894">
        <v>1</v>
      </c>
      <c r="D1894" t="s">
        <v>49</v>
      </c>
      <c r="E1894" t="s">
        <v>47</v>
      </c>
      <c r="F1894" t="s">
        <v>25</v>
      </c>
      <c r="G1894" t="s">
        <v>21</v>
      </c>
      <c r="H1894">
        <v>2</v>
      </c>
      <c r="I1894">
        <v>24000</v>
      </c>
    </row>
    <row r="1895" spans="1:9" x14ac:dyDescent="0.3">
      <c r="A1895" s="1">
        <v>46198</v>
      </c>
      <c r="B1895">
        <v>2026</v>
      </c>
      <c r="C1895">
        <v>6</v>
      </c>
      <c r="D1895" t="s">
        <v>44</v>
      </c>
      <c r="E1895" t="s">
        <v>45</v>
      </c>
      <c r="F1895" t="s">
        <v>25</v>
      </c>
      <c r="G1895" t="s">
        <v>21</v>
      </c>
      <c r="H1895">
        <v>4</v>
      </c>
      <c r="I1895">
        <v>48000</v>
      </c>
    </row>
    <row r="1896" spans="1:9" x14ac:dyDescent="0.3">
      <c r="A1896" s="1">
        <v>46034</v>
      </c>
      <c r="B1896">
        <v>2026</v>
      </c>
      <c r="C1896">
        <v>1</v>
      </c>
      <c r="D1896" t="s">
        <v>44</v>
      </c>
      <c r="E1896" t="s">
        <v>45</v>
      </c>
      <c r="F1896" t="s">
        <v>25</v>
      </c>
      <c r="G1896" t="s">
        <v>21</v>
      </c>
      <c r="H1896">
        <v>1</v>
      </c>
      <c r="I1896">
        <v>12000</v>
      </c>
    </row>
    <row r="1897" spans="1:9" x14ac:dyDescent="0.3">
      <c r="A1897" s="1">
        <v>46199</v>
      </c>
      <c r="B1897">
        <v>2026</v>
      </c>
      <c r="C1897">
        <v>6</v>
      </c>
      <c r="D1897" t="s">
        <v>40</v>
      </c>
      <c r="E1897" t="s">
        <v>41</v>
      </c>
      <c r="F1897" t="s">
        <v>25</v>
      </c>
      <c r="G1897" t="s">
        <v>21</v>
      </c>
      <c r="H1897">
        <v>1</v>
      </c>
      <c r="I1897">
        <v>12000</v>
      </c>
    </row>
    <row r="1898" spans="1:9" x14ac:dyDescent="0.3">
      <c r="A1898" s="1">
        <v>46227</v>
      </c>
      <c r="B1898">
        <v>2026</v>
      </c>
      <c r="C1898">
        <v>7</v>
      </c>
      <c r="D1898" t="s">
        <v>42</v>
      </c>
      <c r="E1898" t="s">
        <v>43</v>
      </c>
      <c r="F1898" t="s">
        <v>25</v>
      </c>
      <c r="G1898" t="s">
        <v>21</v>
      </c>
      <c r="H1898">
        <v>3</v>
      </c>
      <c r="I1898">
        <v>36000</v>
      </c>
    </row>
    <row r="1899" spans="1:9" x14ac:dyDescent="0.3">
      <c r="A1899" s="1">
        <v>46308</v>
      </c>
      <c r="B1899">
        <v>2026</v>
      </c>
      <c r="C1899">
        <v>10</v>
      </c>
      <c r="D1899" t="s">
        <v>46</v>
      </c>
      <c r="E1899" t="s">
        <v>47</v>
      </c>
      <c r="F1899" t="s">
        <v>25</v>
      </c>
      <c r="G1899" t="s">
        <v>21</v>
      </c>
      <c r="H1899">
        <v>3</v>
      </c>
      <c r="I1899">
        <v>36000</v>
      </c>
    </row>
    <row r="1900" spans="1:9" x14ac:dyDescent="0.3">
      <c r="A1900" s="1">
        <v>46227</v>
      </c>
      <c r="B1900">
        <v>2026</v>
      </c>
      <c r="C1900">
        <v>7</v>
      </c>
      <c r="D1900" t="s">
        <v>48</v>
      </c>
      <c r="E1900" t="s">
        <v>43</v>
      </c>
      <c r="F1900" t="s">
        <v>25</v>
      </c>
      <c r="G1900" t="s">
        <v>21</v>
      </c>
      <c r="H1900">
        <v>2</v>
      </c>
      <c r="I1900">
        <v>24000</v>
      </c>
    </row>
    <row r="1901" spans="1:9" x14ac:dyDescent="0.3">
      <c r="A1901" s="1">
        <v>46121</v>
      </c>
      <c r="B1901">
        <v>2026</v>
      </c>
      <c r="C1901">
        <v>4</v>
      </c>
      <c r="D1901" t="s">
        <v>50</v>
      </c>
      <c r="E1901" t="s">
        <v>41</v>
      </c>
      <c r="F1901" t="s">
        <v>25</v>
      </c>
      <c r="G1901" t="s">
        <v>21</v>
      </c>
      <c r="H1901">
        <v>2</v>
      </c>
      <c r="I1901">
        <v>24000</v>
      </c>
    </row>
    <row r="1902" spans="1:9" x14ac:dyDescent="0.3">
      <c r="A1902" s="1">
        <v>46322</v>
      </c>
      <c r="B1902">
        <v>2026</v>
      </c>
      <c r="C1902">
        <v>10</v>
      </c>
      <c r="D1902" t="s">
        <v>46</v>
      </c>
      <c r="E1902" t="s">
        <v>47</v>
      </c>
      <c r="F1902" t="s">
        <v>25</v>
      </c>
      <c r="G1902" t="s">
        <v>21</v>
      </c>
      <c r="H1902">
        <v>4</v>
      </c>
      <c r="I1902">
        <v>48000</v>
      </c>
    </row>
    <row r="1903" spans="1:9" x14ac:dyDescent="0.3">
      <c r="A1903" s="1">
        <v>46116</v>
      </c>
      <c r="B1903">
        <v>2026</v>
      </c>
      <c r="C1903">
        <v>4</v>
      </c>
      <c r="D1903" t="s">
        <v>49</v>
      </c>
      <c r="E1903" t="s">
        <v>47</v>
      </c>
      <c r="F1903" t="s">
        <v>25</v>
      </c>
      <c r="G1903" t="s">
        <v>21</v>
      </c>
      <c r="H1903">
        <v>3</v>
      </c>
      <c r="I1903">
        <v>36000</v>
      </c>
    </row>
    <row r="1904" spans="1:9" x14ac:dyDescent="0.3">
      <c r="A1904" s="1">
        <v>46030</v>
      </c>
      <c r="B1904">
        <v>2026</v>
      </c>
      <c r="C1904">
        <v>1</v>
      </c>
      <c r="D1904" t="s">
        <v>46</v>
      </c>
      <c r="E1904" t="s">
        <v>47</v>
      </c>
      <c r="F1904" t="s">
        <v>25</v>
      </c>
      <c r="G1904" t="s">
        <v>21</v>
      </c>
      <c r="H1904">
        <v>5</v>
      </c>
      <c r="I1904">
        <v>60000</v>
      </c>
    </row>
    <row r="1905" spans="1:9" x14ac:dyDescent="0.3">
      <c r="A1905" s="1">
        <v>46317</v>
      </c>
      <c r="B1905">
        <v>2026</v>
      </c>
      <c r="C1905">
        <v>10</v>
      </c>
      <c r="D1905" t="s">
        <v>46</v>
      </c>
      <c r="E1905" t="s">
        <v>47</v>
      </c>
      <c r="F1905" t="s">
        <v>25</v>
      </c>
      <c r="G1905" t="s">
        <v>21</v>
      </c>
      <c r="H1905">
        <v>5</v>
      </c>
      <c r="I1905">
        <v>60000</v>
      </c>
    </row>
    <row r="1906" spans="1:9" x14ac:dyDescent="0.3">
      <c r="A1906" s="1">
        <v>46037</v>
      </c>
      <c r="B1906">
        <v>2026</v>
      </c>
      <c r="C1906">
        <v>1</v>
      </c>
      <c r="D1906" t="s">
        <v>42</v>
      </c>
      <c r="E1906" t="s">
        <v>43</v>
      </c>
      <c r="F1906" t="s">
        <v>25</v>
      </c>
      <c r="G1906" t="s">
        <v>21</v>
      </c>
      <c r="H1906">
        <v>4</v>
      </c>
      <c r="I1906">
        <v>48000</v>
      </c>
    </row>
    <row r="1907" spans="1:9" x14ac:dyDescent="0.3">
      <c r="A1907" s="1">
        <v>46064</v>
      </c>
      <c r="B1907">
        <v>2026</v>
      </c>
      <c r="C1907">
        <v>2</v>
      </c>
      <c r="D1907" t="s">
        <v>40</v>
      </c>
      <c r="E1907" t="s">
        <v>41</v>
      </c>
      <c r="F1907" t="s">
        <v>25</v>
      </c>
      <c r="G1907" t="s">
        <v>21</v>
      </c>
      <c r="H1907">
        <v>1</v>
      </c>
      <c r="I1907">
        <v>12000</v>
      </c>
    </row>
    <row r="1908" spans="1:9" x14ac:dyDescent="0.3">
      <c r="A1908" s="1">
        <v>46277</v>
      </c>
      <c r="B1908">
        <v>2026</v>
      </c>
      <c r="C1908">
        <v>9</v>
      </c>
      <c r="D1908" t="s">
        <v>46</v>
      </c>
      <c r="E1908" t="s">
        <v>47</v>
      </c>
      <c r="F1908" t="s">
        <v>25</v>
      </c>
      <c r="G1908" t="s">
        <v>21</v>
      </c>
      <c r="H1908">
        <v>2</v>
      </c>
      <c r="I1908">
        <v>24000</v>
      </c>
    </row>
    <row r="1909" spans="1:9" x14ac:dyDescent="0.3">
      <c r="A1909" s="1">
        <v>46163</v>
      </c>
      <c r="B1909">
        <v>2026</v>
      </c>
      <c r="C1909">
        <v>5</v>
      </c>
      <c r="D1909" t="s">
        <v>44</v>
      </c>
      <c r="E1909" t="s">
        <v>45</v>
      </c>
      <c r="F1909" t="s">
        <v>25</v>
      </c>
      <c r="G1909" t="s">
        <v>21</v>
      </c>
      <c r="H1909">
        <v>2</v>
      </c>
      <c r="I1909">
        <v>24000</v>
      </c>
    </row>
    <row r="1910" spans="1:9" x14ac:dyDescent="0.3">
      <c r="A1910" s="1">
        <v>46250</v>
      </c>
      <c r="B1910">
        <v>2026</v>
      </c>
      <c r="C1910">
        <v>8</v>
      </c>
      <c r="D1910" t="s">
        <v>48</v>
      </c>
      <c r="E1910" t="s">
        <v>43</v>
      </c>
      <c r="F1910" t="s">
        <v>25</v>
      </c>
      <c r="G1910" t="s">
        <v>21</v>
      </c>
      <c r="H1910">
        <v>3</v>
      </c>
      <c r="I1910">
        <v>36000</v>
      </c>
    </row>
    <row r="1911" spans="1:9" x14ac:dyDescent="0.3">
      <c r="A1911" s="1">
        <v>46221</v>
      </c>
      <c r="B1911">
        <v>2026</v>
      </c>
      <c r="C1911">
        <v>7</v>
      </c>
      <c r="D1911" t="s">
        <v>51</v>
      </c>
      <c r="E1911" t="s">
        <v>45</v>
      </c>
      <c r="F1911" t="s">
        <v>25</v>
      </c>
      <c r="G1911" t="s">
        <v>21</v>
      </c>
      <c r="H1911">
        <v>3</v>
      </c>
      <c r="I1911">
        <v>36000</v>
      </c>
    </row>
    <row r="1912" spans="1:9" x14ac:dyDescent="0.3">
      <c r="A1912" s="1">
        <v>46043</v>
      </c>
      <c r="B1912">
        <v>2026</v>
      </c>
      <c r="C1912">
        <v>1</v>
      </c>
      <c r="D1912" t="s">
        <v>42</v>
      </c>
      <c r="E1912" t="s">
        <v>43</v>
      </c>
      <c r="F1912" t="s">
        <v>25</v>
      </c>
      <c r="G1912" t="s">
        <v>21</v>
      </c>
      <c r="H1912">
        <v>3</v>
      </c>
      <c r="I1912">
        <v>36000</v>
      </c>
    </row>
    <row r="1913" spans="1:9" x14ac:dyDescent="0.3">
      <c r="A1913" s="1">
        <v>46314</v>
      </c>
      <c r="B1913">
        <v>2026</v>
      </c>
      <c r="C1913">
        <v>10</v>
      </c>
      <c r="D1913" t="s">
        <v>42</v>
      </c>
      <c r="E1913" t="s">
        <v>43</v>
      </c>
      <c r="F1913" t="s">
        <v>25</v>
      </c>
      <c r="G1913" t="s">
        <v>21</v>
      </c>
      <c r="H1913">
        <v>4</v>
      </c>
      <c r="I1913">
        <v>48000</v>
      </c>
    </row>
    <row r="1914" spans="1:9" x14ac:dyDescent="0.3">
      <c r="A1914" s="1">
        <v>46071</v>
      </c>
      <c r="B1914">
        <v>2026</v>
      </c>
      <c r="C1914">
        <v>2</v>
      </c>
      <c r="D1914" t="s">
        <v>50</v>
      </c>
      <c r="E1914" t="s">
        <v>41</v>
      </c>
      <c r="F1914" t="s">
        <v>25</v>
      </c>
      <c r="G1914" t="s">
        <v>21</v>
      </c>
      <c r="H1914">
        <v>3</v>
      </c>
      <c r="I1914">
        <v>36000</v>
      </c>
    </row>
    <row r="1915" spans="1:9" x14ac:dyDescent="0.3">
      <c r="A1915" s="1">
        <v>46078</v>
      </c>
      <c r="B1915">
        <v>2026</v>
      </c>
      <c r="C1915">
        <v>2</v>
      </c>
      <c r="D1915" t="s">
        <v>49</v>
      </c>
      <c r="E1915" t="s">
        <v>47</v>
      </c>
      <c r="F1915" t="s">
        <v>25</v>
      </c>
      <c r="G1915" t="s">
        <v>21</v>
      </c>
      <c r="H1915">
        <v>1</v>
      </c>
      <c r="I1915">
        <v>12000</v>
      </c>
    </row>
    <row r="1916" spans="1:9" x14ac:dyDescent="0.3">
      <c r="A1916" s="1">
        <v>46144</v>
      </c>
      <c r="B1916">
        <v>2026</v>
      </c>
      <c r="C1916">
        <v>5</v>
      </c>
      <c r="D1916" t="s">
        <v>50</v>
      </c>
      <c r="E1916" t="s">
        <v>41</v>
      </c>
      <c r="F1916" t="s">
        <v>25</v>
      </c>
      <c r="G1916" t="s">
        <v>21</v>
      </c>
      <c r="H1916">
        <v>3</v>
      </c>
      <c r="I1916">
        <v>36000</v>
      </c>
    </row>
    <row r="1917" spans="1:9" x14ac:dyDescent="0.3">
      <c r="A1917" s="1">
        <v>46284</v>
      </c>
      <c r="B1917">
        <v>2026</v>
      </c>
      <c r="C1917">
        <v>9</v>
      </c>
      <c r="D1917" t="s">
        <v>48</v>
      </c>
      <c r="E1917" t="s">
        <v>43</v>
      </c>
      <c r="F1917" t="s">
        <v>25</v>
      </c>
      <c r="G1917" t="s">
        <v>21</v>
      </c>
      <c r="H1917">
        <v>4</v>
      </c>
      <c r="I1917">
        <v>48000</v>
      </c>
    </row>
    <row r="1918" spans="1:9" x14ac:dyDescent="0.3">
      <c r="A1918" s="1">
        <v>46109</v>
      </c>
      <c r="B1918">
        <v>2026</v>
      </c>
      <c r="C1918">
        <v>3</v>
      </c>
      <c r="D1918" t="s">
        <v>50</v>
      </c>
      <c r="E1918" t="s">
        <v>41</v>
      </c>
      <c r="F1918" t="s">
        <v>25</v>
      </c>
      <c r="G1918" t="s">
        <v>21</v>
      </c>
      <c r="H1918">
        <v>3</v>
      </c>
      <c r="I1918">
        <v>36000</v>
      </c>
    </row>
    <row r="1919" spans="1:9" x14ac:dyDescent="0.3">
      <c r="A1919" s="1">
        <v>46292</v>
      </c>
      <c r="B1919">
        <v>2026</v>
      </c>
      <c r="C1919">
        <v>9</v>
      </c>
      <c r="D1919" t="s">
        <v>40</v>
      </c>
      <c r="E1919" t="s">
        <v>41</v>
      </c>
      <c r="F1919" t="s">
        <v>25</v>
      </c>
      <c r="G1919" t="s">
        <v>21</v>
      </c>
      <c r="H1919">
        <v>5</v>
      </c>
      <c r="I1919">
        <v>60000</v>
      </c>
    </row>
    <row r="1920" spans="1:9" x14ac:dyDescent="0.3">
      <c r="A1920" s="1">
        <v>46217</v>
      </c>
      <c r="B1920">
        <v>2026</v>
      </c>
      <c r="C1920">
        <v>7</v>
      </c>
      <c r="D1920" t="s">
        <v>44</v>
      </c>
      <c r="E1920" t="s">
        <v>45</v>
      </c>
      <c r="F1920" t="s">
        <v>25</v>
      </c>
      <c r="G1920" t="s">
        <v>21</v>
      </c>
      <c r="H1920">
        <v>5</v>
      </c>
      <c r="I1920">
        <v>60000</v>
      </c>
    </row>
    <row r="1921" spans="1:9" x14ac:dyDescent="0.3">
      <c r="A1921" s="1">
        <v>46024</v>
      </c>
      <c r="B1921">
        <v>2026</v>
      </c>
      <c r="C1921">
        <v>1</v>
      </c>
      <c r="D1921" t="s">
        <v>50</v>
      </c>
      <c r="E1921" t="s">
        <v>41</v>
      </c>
      <c r="F1921" t="s">
        <v>25</v>
      </c>
      <c r="G1921" t="s">
        <v>21</v>
      </c>
      <c r="H1921">
        <v>4</v>
      </c>
      <c r="I1921">
        <v>48000</v>
      </c>
    </row>
    <row r="1922" spans="1:9" x14ac:dyDescent="0.3">
      <c r="A1922" s="1">
        <v>46243</v>
      </c>
      <c r="B1922">
        <v>2026</v>
      </c>
      <c r="C1922">
        <v>8</v>
      </c>
      <c r="D1922" t="s">
        <v>49</v>
      </c>
      <c r="E1922" t="s">
        <v>47</v>
      </c>
      <c r="F1922" t="s">
        <v>25</v>
      </c>
      <c r="G1922" t="s">
        <v>21</v>
      </c>
      <c r="H1922">
        <v>1</v>
      </c>
      <c r="I1922">
        <v>12000</v>
      </c>
    </row>
    <row r="1923" spans="1:9" x14ac:dyDescent="0.3">
      <c r="A1923" s="1">
        <v>46208</v>
      </c>
      <c r="B1923">
        <v>2026</v>
      </c>
      <c r="C1923">
        <v>7</v>
      </c>
      <c r="D1923" t="s">
        <v>49</v>
      </c>
      <c r="E1923" t="s">
        <v>47</v>
      </c>
      <c r="F1923" t="s">
        <v>25</v>
      </c>
      <c r="G1923" t="s">
        <v>21</v>
      </c>
      <c r="H1923">
        <v>3</v>
      </c>
      <c r="I1923">
        <v>36000</v>
      </c>
    </row>
    <row r="1924" spans="1:9" x14ac:dyDescent="0.3">
      <c r="A1924" s="1">
        <v>46322</v>
      </c>
      <c r="B1924">
        <v>2026</v>
      </c>
      <c r="C1924">
        <v>10</v>
      </c>
      <c r="D1924" t="s">
        <v>49</v>
      </c>
      <c r="E1924" t="s">
        <v>47</v>
      </c>
      <c r="F1924" t="s">
        <v>25</v>
      </c>
      <c r="G1924" t="s">
        <v>21</v>
      </c>
      <c r="H1924">
        <v>1</v>
      </c>
      <c r="I1924">
        <v>12000</v>
      </c>
    </row>
    <row r="1925" spans="1:9" x14ac:dyDescent="0.3">
      <c r="A1925" s="1">
        <v>46183</v>
      </c>
      <c r="B1925">
        <v>2026</v>
      </c>
      <c r="C1925">
        <v>6</v>
      </c>
      <c r="D1925" t="s">
        <v>42</v>
      </c>
      <c r="E1925" t="s">
        <v>43</v>
      </c>
      <c r="F1925" t="s">
        <v>25</v>
      </c>
      <c r="G1925" t="s">
        <v>21</v>
      </c>
      <c r="H1925">
        <v>5</v>
      </c>
      <c r="I1925">
        <v>60000</v>
      </c>
    </row>
    <row r="1926" spans="1:9" x14ac:dyDescent="0.3">
      <c r="A1926" s="1">
        <v>46114</v>
      </c>
      <c r="B1926">
        <v>2026</v>
      </c>
      <c r="C1926">
        <v>4</v>
      </c>
      <c r="D1926" t="s">
        <v>48</v>
      </c>
      <c r="E1926" t="s">
        <v>43</v>
      </c>
      <c r="F1926" t="s">
        <v>25</v>
      </c>
      <c r="G1926" t="s">
        <v>21</v>
      </c>
      <c r="H1926">
        <v>3</v>
      </c>
      <c r="I1926">
        <v>36000</v>
      </c>
    </row>
    <row r="1927" spans="1:9" x14ac:dyDescent="0.3">
      <c r="A1927" s="1">
        <v>46208</v>
      </c>
      <c r="B1927">
        <v>2026</v>
      </c>
      <c r="C1927">
        <v>7</v>
      </c>
      <c r="D1927" t="s">
        <v>49</v>
      </c>
      <c r="E1927" t="s">
        <v>47</v>
      </c>
      <c r="F1927" t="s">
        <v>25</v>
      </c>
      <c r="G1927" t="s">
        <v>21</v>
      </c>
      <c r="H1927">
        <v>3</v>
      </c>
      <c r="I1927">
        <v>36000</v>
      </c>
    </row>
    <row r="1928" spans="1:9" x14ac:dyDescent="0.3">
      <c r="A1928" s="1">
        <v>46174</v>
      </c>
      <c r="B1928">
        <v>2026</v>
      </c>
      <c r="C1928">
        <v>6</v>
      </c>
      <c r="D1928" t="s">
        <v>42</v>
      </c>
      <c r="E1928" t="s">
        <v>43</v>
      </c>
      <c r="F1928" t="s">
        <v>25</v>
      </c>
      <c r="G1928" t="s">
        <v>21</v>
      </c>
      <c r="H1928">
        <v>3</v>
      </c>
      <c r="I1928">
        <v>36000</v>
      </c>
    </row>
    <row r="1929" spans="1:9" x14ac:dyDescent="0.3">
      <c r="A1929" s="1">
        <v>46103</v>
      </c>
      <c r="B1929">
        <v>2026</v>
      </c>
      <c r="C1929">
        <v>3</v>
      </c>
      <c r="D1929" t="s">
        <v>49</v>
      </c>
      <c r="E1929" t="s">
        <v>47</v>
      </c>
      <c r="F1929" t="s">
        <v>25</v>
      </c>
      <c r="G1929" t="s">
        <v>21</v>
      </c>
      <c r="H1929">
        <v>3</v>
      </c>
      <c r="I1929">
        <v>36000</v>
      </c>
    </row>
    <row r="1930" spans="1:9" x14ac:dyDescent="0.3">
      <c r="A1930" s="1">
        <v>46276</v>
      </c>
      <c r="B1930">
        <v>2026</v>
      </c>
      <c r="C1930">
        <v>9</v>
      </c>
      <c r="D1930" t="s">
        <v>48</v>
      </c>
      <c r="E1930" t="s">
        <v>43</v>
      </c>
      <c r="F1930" t="s">
        <v>25</v>
      </c>
      <c r="G1930" t="s">
        <v>21</v>
      </c>
      <c r="H1930">
        <v>1</v>
      </c>
      <c r="I1930">
        <v>12000</v>
      </c>
    </row>
    <row r="1931" spans="1:9" x14ac:dyDescent="0.3">
      <c r="A1931" s="1">
        <v>46085</v>
      </c>
      <c r="B1931">
        <v>2026</v>
      </c>
      <c r="C1931">
        <v>3</v>
      </c>
      <c r="D1931" t="s">
        <v>46</v>
      </c>
      <c r="E1931" t="s">
        <v>47</v>
      </c>
      <c r="F1931" t="s">
        <v>25</v>
      </c>
      <c r="G1931" t="s">
        <v>21</v>
      </c>
      <c r="H1931">
        <v>3</v>
      </c>
      <c r="I1931">
        <v>36000</v>
      </c>
    </row>
    <row r="1932" spans="1:9" x14ac:dyDescent="0.3">
      <c r="A1932" s="1">
        <v>46195</v>
      </c>
      <c r="B1932">
        <v>2026</v>
      </c>
      <c r="C1932">
        <v>6</v>
      </c>
      <c r="D1932" t="s">
        <v>40</v>
      </c>
      <c r="E1932" t="s">
        <v>41</v>
      </c>
      <c r="F1932" t="s">
        <v>25</v>
      </c>
      <c r="G1932" t="s">
        <v>21</v>
      </c>
      <c r="H1932">
        <v>3</v>
      </c>
      <c r="I1932">
        <v>36000</v>
      </c>
    </row>
    <row r="1933" spans="1:9" x14ac:dyDescent="0.3">
      <c r="A1933" s="1">
        <v>46276</v>
      </c>
      <c r="B1933">
        <v>2026</v>
      </c>
      <c r="C1933">
        <v>9</v>
      </c>
      <c r="D1933" t="s">
        <v>50</v>
      </c>
      <c r="E1933" t="s">
        <v>41</v>
      </c>
      <c r="F1933" t="s">
        <v>25</v>
      </c>
      <c r="G1933" t="s">
        <v>21</v>
      </c>
      <c r="H1933">
        <v>2</v>
      </c>
      <c r="I1933">
        <v>24000</v>
      </c>
    </row>
    <row r="1934" spans="1:9" x14ac:dyDescent="0.3">
      <c r="A1934" s="1">
        <v>46303</v>
      </c>
      <c r="B1934">
        <v>2026</v>
      </c>
      <c r="C1934">
        <v>10</v>
      </c>
      <c r="D1934" t="s">
        <v>50</v>
      </c>
      <c r="E1934" t="s">
        <v>41</v>
      </c>
      <c r="F1934" t="s">
        <v>25</v>
      </c>
      <c r="G1934" t="s">
        <v>21</v>
      </c>
      <c r="H1934">
        <v>2</v>
      </c>
      <c r="I1934">
        <v>24000</v>
      </c>
    </row>
    <row r="1935" spans="1:9" x14ac:dyDescent="0.3">
      <c r="A1935" s="1">
        <v>46034</v>
      </c>
      <c r="B1935">
        <v>2026</v>
      </c>
      <c r="C1935">
        <v>1</v>
      </c>
      <c r="D1935" t="s">
        <v>40</v>
      </c>
      <c r="E1935" t="s">
        <v>41</v>
      </c>
      <c r="F1935" t="s">
        <v>25</v>
      </c>
      <c r="G1935" t="s">
        <v>21</v>
      </c>
      <c r="H1935">
        <v>5</v>
      </c>
      <c r="I1935">
        <v>60000</v>
      </c>
    </row>
    <row r="1936" spans="1:9" x14ac:dyDescent="0.3">
      <c r="A1936" s="1">
        <v>46233</v>
      </c>
      <c r="B1936">
        <v>2026</v>
      </c>
      <c r="C1936">
        <v>7</v>
      </c>
      <c r="D1936" t="s">
        <v>51</v>
      </c>
      <c r="E1936" t="s">
        <v>45</v>
      </c>
      <c r="F1936" t="s">
        <v>25</v>
      </c>
      <c r="G1936" t="s">
        <v>21</v>
      </c>
      <c r="H1936">
        <v>2</v>
      </c>
      <c r="I1936">
        <v>24000</v>
      </c>
    </row>
    <row r="1937" spans="1:9" x14ac:dyDescent="0.3">
      <c r="A1937" s="1">
        <v>46029</v>
      </c>
      <c r="B1937">
        <v>2026</v>
      </c>
      <c r="C1937">
        <v>1</v>
      </c>
      <c r="D1937" t="s">
        <v>51</v>
      </c>
      <c r="E1937" t="s">
        <v>45</v>
      </c>
      <c r="F1937" t="s">
        <v>25</v>
      </c>
      <c r="G1937" t="s">
        <v>21</v>
      </c>
      <c r="H1937">
        <v>2</v>
      </c>
      <c r="I1937">
        <v>24000</v>
      </c>
    </row>
    <row r="1938" spans="1:9" x14ac:dyDescent="0.3">
      <c r="A1938" s="1">
        <v>46048</v>
      </c>
      <c r="B1938">
        <v>2026</v>
      </c>
      <c r="C1938">
        <v>1</v>
      </c>
      <c r="D1938" t="s">
        <v>44</v>
      </c>
      <c r="E1938" t="s">
        <v>45</v>
      </c>
      <c r="F1938" t="s">
        <v>25</v>
      </c>
      <c r="G1938" t="s">
        <v>21</v>
      </c>
      <c r="H1938">
        <v>2</v>
      </c>
      <c r="I1938">
        <v>24000</v>
      </c>
    </row>
    <row r="1939" spans="1:9" x14ac:dyDescent="0.3">
      <c r="A1939" s="1">
        <v>46183</v>
      </c>
      <c r="B1939">
        <v>2026</v>
      </c>
      <c r="C1939">
        <v>6</v>
      </c>
      <c r="D1939" t="s">
        <v>48</v>
      </c>
      <c r="E1939" t="s">
        <v>43</v>
      </c>
      <c r="F1939" t="s">
        <v>25</v>
      </c>
      <c r="G1939" t="s">
        <v>21</v>
      </c>
      <c r="H1939">
        <v>4</v>
      </c>
      <c r="I1939">
        <v>48000</v>
      </c>
    </row>
    <row r="1940" spans="1:9" x14ac:dyDescent="0.3">
      <c r="A1940" s="1">
        <v>46120</v>
      </c>
      <c r="B1940">
        <v>2026</v>
      </c>
      <c r="C1940">
        <v>4</v>
      </c>
      <c r="D1940" t="s">
        <v>42</v>
      </c>
      <c r="E1940" t="s">
        <v>43</v>
      </c>
      <c r="F1940" t="s">
        <v>25</v>
      </c>
      <c r="G1940" t="s">
        <v>21</v>
      </c>
      <c r="H1940">
        <v>4</v>
      </c>
      <c r="I1940">
        <v>48000</v>
      </c>
    </row>
    <row r="1941" spans="1:9" x14ac:dyDescent="0.3">
      <c r="A1941" s="1">
        <v>46199</v>
      </c>
      <c r="B1941">
        <v>2026</v>
      </c>
      <c r="C1941">
        <v>6</v>
      </c>
      <c r="D1941" t="s">
        <v>40</v>
      </c>
      <c r="E1941" t="s">
        <v>41</v>
      </c>
      <c r="F1941" t="s">
        <v>25</v>
      </c>
      <c r="G1941" t="s">
        <v>21</v>
      </c>
      <c r="H1941">
        <v>3</v>
      </c>
      <c r="I1941">
        <v>36000</v>
      </c>
    </row>
    <row r="1942" spans="1:9" x14ac:dyDescent="0.3">
      <c r="A1942" s="1">
        <v>46110</v>
      </c>
      <c r="B1942">
        <v>2026</v>
      </c>
      <c r="C1942">
        <v>3</v>
      </c>
      <c r="D1942" t="s">
        <v>42</v>
      </c>
      <c r="E1942" t="s">
        <v>43</v>
      </c>
      <c r="F1942" t="s">
        <v>25</v>
      </c>
      <c r="G1942" t="s">
        <v>21</v>
      </c>
      <c r="H1942">
        <v>3</v>
      </c>
      <c r="I1942">
        <v>36000</v>
      </c>
    </row>
    <row r="1943" spans="1:9" x14ac:dyDescent="0.3">
      <c r="A1943" s="1">
        <v>46118</v>
      </c>
      <c r="B1943">
        <v>2026</v>
      </c>
      <c r="C1943">
        <v>4</v>
      </c>
      <c r="D1943" t="s">
        <v>48</v>
      </c>
      <c r="E1943" t="s">
        <v>43</v>
      </c>
      <c r="F1943" t="s">
        <v>25</v>
      </c>
      <c r="G1943" t="s">
        <v>21</v>
      </c>
      <c r="H1943">
        <v>2</v>
      </c>
      <c r="I1943">
        <v>24000</v>
      </c>
    </row>
    <row r="1944" spans="1:9" x14ac:dyDescent="0.3">
      <c r="A1944" s="1">
        <v>46255</v>
      </c>
      <c r="B1944">
        <v>2026</v>
      </c>
      <c r="C1944">
        <v>8</v>
      </c>
      <c r="D1944" t="s">
        <v>50</v>
      </c>
      <c r="E1944" t="s">
        <v>41</v>
      </c>
      <c r="F1944" t="s">
        <v>25</v>
      </c>
      <c r="G1944" t="s">
        <v>21</v>
      </c>
      <c r="H1944">
        <v>1</v>
      </c>
      <c r="I1944">
        <v>12000</v>
      </c>
    </row>
    <row r="1945" spans="1:9" x14ac:dyDescent="0.3">
      <c r="A1945" s="1">
        <v>46219</v>
      </c>
      <c r="B1945">
        <v>2026</v>
      </c>
      <c r="C1945">
        <v>7</v>
      </c>
      <c r="D1945" t="s">
        <v>44</v>
      </c>
      <c r="E1945" t="s">
        <v>45</v>
      </c>
      <c r="F1945" t="s">
        <v>25</v>
      </c>
      <c r="G1945" t="s">
        <v>21</v>
      </c>
      <c r="H1945">
        <v>5</v>
      </c>
      <c r="I1945">
        <v>60000</v>
      </c>
    </row>
    <row r="1946" spans="1:9" x14ac:dyDescent="0.3">
      <c r="A1946" s="1">
        <v>46302</v>
      </c>
      <c r="B1946">
        <v>2026</v>
      </c>
      <c r="C1946">
        <v>10</v>
      </c>
      <c r="D1946" t="s">
        <v>44</v>
      </c>
      <c r="E1946" t="s">
        <v>45</v>
      </c>
      <c r="F1946" t="s">
        <v>25</v>
      </c>
      <c r="G1946" t="s">
        <v>21</v>
      </c>
      <c r="H1946">
        <v>2</v>
      </c>
      <c r="I1946">
        <v>24000</v>
      </c>
    </row>
    <row r="1947" spans="1:9" x14ac:dyDescent="0.3">
      <c r="A1947" s="1">
        <v>46287</v>
      </c>
      <c r="B1947">
        <v>2026</v>
      </c>
      <c r="C1947">
        <v>9</v>
      </c>
      <c r="D1947" t="s">
        <v>50</v>
      </c>
      <c r="E1947" t="s">
        <v>41</v>
      </c>
      <c r="F1947" t="s">
        <v>25</v>
      </c>
      <c r="G1947" t="s">
        <v>21</v>
      </c>
      <c r="H1947">
        <v>3</v>
      </c>
      <c r="I1947">
        <v>36000</v>
      </c>
    </row>
    <row r="1948" spans="1:9" x14ac:dyDescent="0.3">
      <c r="A1948" s="1">
        <v>46298</v>
      </c>
      <c r="B1948">
        <v>2026</v>
      </c>
      <c r="C1948">
        <v>10</v>
      </c>
      <c r="D1948" t="s">
        <v>42</v>
      </c>
      <c r="E1948" t="s">
        <v>43</v>
      </c>
      <c r="F1948" t="s">
        <v>25</v>
      </c>
      <c r="G1948" t="s">
        <v>21</v>
      </c>
      <c r="H1948">
        <v>1</v>
      </c>
      <c r="I1948">
        <v>12000</v>
      </c>
    </row>
    <row r="1949" spans="1:9" x14ac:dyDescent="0.3">
      <c r="A1949" s="1">
        <v>46252</v>
      </c>
      <c r="B1949">
        <v>2026</v>
      </c>
      <c r="C1949">
        <v>8</v>
      </c>
      <c r="D1949" t="s">
        <v>46</v>
      </c>
      <c r="E1949" t="s">
        <v>47</v>
      </c>
      <c r="F1949" t="s">
        <v>25</v>
      </c>
      <c r="G1949" t="s">
        <v>21</v>
      </c>
      <c r="H1949">
        <v>1</v>
      </c>
      <c r="I1949">
        <v>12000</v>
      </c>
    </row>
    <row r="1950" spans="1:9" x14ac:dyDescent="0.3">
      <c r="A1950" s="1">
        <v>46056</v>
      </c>
      <c r="B1950">
        <v>2026</v>
      </c>
      <c r="C1950">
        <v>2</v>
      </c>
      <c r="D1950" t="s">
        <v>48</v>
      </c>
      <c r="E1950" t="s">
        <v>43</v>
      </c>
      <c r="F1950" t="s">
        <v>25</v>
      </c>
      <c r="G1950" t="s">
        <v>21</v>
      </c>
      <c r="H1950">
        <v>2</v>
      </c>
      <c r="I1950">
        <v>24000</v>
      </c>
    </row>
    <row r="1951" spans="1:9" x14ac:dyDescent="0.3">
      <c r="A1951" s="1">
        <v>46023</v>
      </c>
      <c r="B1951">
        <v>2026</v>
      </c>
      <c r="C1951">
        <v>1</v>
      </c>
      <c r="D1951" t="s">
        <v>46</v>
      </c>
      <c r="E1951" t="s">
        <v>47</v>
      </c>
      <c r="F1951" t="s">
        <v>25</v>
      </c>
      <c r="G1951" t="s">
        <v>21</v>
      </c>
      <c r="H1951">
        <v>4</v>
      </c>
      <c r="I1951">
        <v>48000</v>
      </c>
    </row>
    <row r="1952" spans="1:9" x14ac:dyDescent="0.3">
      <c r="A1952" s="1">
        <v>46209</v>
      </c>
      <c r="B1952">
        <v>2026</v>
      </c>
      <c r="C1952">
        <v>7</v>
      </c>
      <c r="D1952" t="s">
        <v>46</v>
      </c>
      <c r="E1952" t="s">
        <v>47</v>
      </c>
      <c r="F1952" t="s">
        <v>25</v>
      </c>
      <c r="G1952" t="s">
        <v>21</v>
      </c>
      <c r="H1952">
        <v>2</v>
      </c>
      <c r="I1952">
        <v>24000</v>
      </c>
    </row>
    <row r="1953" spans="1:9" x14ac:dyDescent="0.3">
      <c r="A1953" s="1">
        <v>46120</v>
      </c>
      <c r="B1953">
        <v>2026</v>
      </c>
      <c r="C1953">
        <v>4</v>
      </c>
      <c r="D1953" t="s">
        <v>40</v>
      </c>
      <c r="E1953" t="s">
        <v>41</v>
      </c>
      <c r="F1953" t="s">
        <v>25</v>
      </c>
      <c r="G1953" t="s">
        <v>21</v>
      </c>
      <c r="H1953">
        <v>5</v>
      </c>
      <c r="I1953">
        <v>60000</v>
      </c>
    </row>
    <row r="1954" spans="1:9" x14ac:dyDescent="0.3">
      <c r="A1954" s="1">
        <v>46235</v>
      </c>
      <c r="B1954">
        <v>2026</v>
      </c>
      <c r="C1954">
        <v>8</v>
      </c>
      <c r="D1954" t="s">
        <v>44</v>
      </c>
      <c r="E1954" t="s">
        <v>45</v>
      </c>
      <c r="F1954" t="s">
        <v>25</v>
      </c>
      <c r="G1954" t="s">
        <v>21</v>
      </c>
      <c r="H1954">
        <v>1</v>
      </c>
      <c r="I1954">
        <v>12000</v>
      </c>
    </row>
    <row r="1955" spans="1:9" x14ac:dyDescent="0.3">
      <c r="A1955" s="1">
        <v>46042</v>
      </c>
      <c r="B1955">
        <v>2026</v>
      </c>
      <c r="C1955">
        <v>1</v>
      </c>
      <c r="D1955" t="s">
        <v>46</v>
      </c>
      <c r="E1955" t="s">
        <v>47</v>
      </c>
      <c r="F1955" t="s">
        <v>25</v>
      </c>
      <c r="G1955" t="s">
        <v>21</v>
      </c>
      <c r="H1955">
        <v>1</v>
      </c>
      <c r="I1955">
        <v>12000</v>
      </c>
    </row>
    <row r="1956" spans="1:9" x14ac:dyDescent="0.3">
      <c r="A1956" s="1">
        <v>46054</v>
      </c>
      <c r="B1956">
        <v>2026</v>
      </c>
      <c r="C1956">
        <v>2</v>
      </c>
      <c r="D1956" t="s">
        <v>49</v>
      </c>
      <c r="E1956" t="s">
        <v>47</v>
      </c>
      <c r="F1956" t="s">
        <v>25</v>
      </c>
      <c r="G1956" t="s">
        <v>21</v>
      </c>
      <c r="H1956">
        <v>4</v>
      </c>
      <c r="I1956">
        <v>48000</v>
      </c>
    </row>
    <row r="1957" spans="1:9" x14ac:dyDescent="0.3">
      <c r="A1957" s="1">
        <v>46073</v>
      </c>
      <c r="B1957">
        <v>2026</v>
      </c>
      <c r="C1957">
        <v>2</v>
      </c>
      <c r="D1957" t="s">
        <v>46</v>
      </c>
      <c r="E1957" t="s">
        <v>47</v>
      </c>
      <c r="F1957" t="s">
        <v>25</v>
      </c>
      <c r="G1957" t="s">
        <v>21</v>
      </c>
      <c r="H1957">
        <v>2</v>
      </c>
      <c r="I1957">
        <v>24000</v>
      </c>
    </row>
    <row r="1958" spans="1:9" x14ac:dyDescent="0.3">
      <c r="A1958" s="1">
        <v>46056</v>
      </c>
      <c r="B1958">
        <v>2026</v>
      </c>
      <c r="C1958">
        <v>2</v>
      </c>
      <c r="D1958" t="s">
        <v>44</v>
      </c>
      <c r="E1958" t="s">
        <v>45</v>
      </c>
      <c r="F1958" t="s">
        <v>25</v>
      </c>
      <c r="G1958" t="s">
        <v>21</v>
      </c>
      <c r="H1958">
        <v>5</v>
      </c>
      <c r="I1958">
        <v>60000</v>
      </c>
    </row>
    <row r="1959" spans="1:9" x14ac:dyDescent="0.3">
      <c r="A1959" s="1">
        <v>46231</v>
      </c>
      <c r="B1959">
        <v>2026</v>
      </c>
      <c r="C1959">
        <v>7</v>
      </c>
      <c r="D1959" t="s">
        <v>50</v>
      </c>
      <c r="E1959" t="s">
        <v>41</v>
      </c>
      <c r="F1959" t="s">
        <v>25</v>
      </c>
      <c r="G1959" t="s">
        <v>21</v>
      </c>
      <c r="H1959">
        <v>1</v>
      </c>
      <c r="I1959">
        <v>12000</v>
      </c>
    </row>
    <row r="1960" spans="1:9" x14ac:dyDescent="0.3">
      <c r="A1960" s="1">
        <v>46028</v>
      </c>
      <c r="B1960">
        <v>2026</v>
      </c>
      <c r="C1960">
        <v>1</v>
      </c>
      <c r="D1960" t="s">
        <v>46</v>
      </c>
      <c r="E1960" t="s">
        <v>47</v>
      </c>
      <c r="F1960" t="s">
        <v>25</v>
      </c>
      <c r="G1960" t="s">
        <v>21</v>
      </c>
      <c r="H1960">
        <v>2</v>
      </c>
      <c r="I1960">
        <v>24000</v>
      </c>
    </row>
    <row r="1961" spans="1:9" x14ac:dyDescent="0.3">
      <c r="A1961" s="1">
        <v>46226</v>
      </c>
      <c r="B1961">
        <v>2026</v>
      </c>
      <c r="C1961">
        <v>7</v>
      </c>
      <c r="D1961" t="s">
        <v>50</v>
      </c>
      <c r="E1961" t="s">
        <v>41</v>
      </c>
      <c r="F1961" t="s">
        <v>25</v>
      </c>
      <c r="G1961" t="s">
        <v>21</v>
      </c>
      <c r="H1961">
        <v>2</v>
      </c>
      <c r="I1961">
        <v>24000</v>
      </c>
    </row>
    <row r="1962" spans="1:9" x14ac:dyDescent="0.3">
      <c r="A1962" s="1">
        <v>46121</v>
      </c>
      <c r="B1962">
        <v>2026</v>
      </c>
      <c r="C1962">
        <v>4</v>
      </c>
      <c r="D1962" t="s">
        <v>42</v>
      </c>
      <c r="E1962" t="s">
        <v>43</v>
      </c>
      <c r="F1962" t="s">
        <v>25</v>
      </c>
      <c r="G1962" t="s">
        <v>21</v>
      </c>
      <c r="H1962">
        <v>4</v>
      </c>
      <c r="I1962">
        <v>48000</v>
      </c>
    </row>
    <row r="1963" spans="1:9" x14ac:dyDescent="0.3">
      <c r="A1963" s="1">
        <v>46160</v>
      </c>
      <c r="B1963">
        <v>2026</v>
      </c>
      <c r="C1963">
        <v>5</v>
      </c>
      <c r="D1963" t="s">
        <v>49</v>
      </c>
      <c r="E1963" t="s">
        <v>47</v>
      </c>
      <c r="F1963" t="s">
        <v>25</v>
      </c>
      <c r="G1963" t="s">
        <v>21</v>
      </c>
      <c r="H1963">
        <v>1</v>
      </c>
      <c r="I1963">
        <v>12000</v>
      </c>
    </row>
    <row r="1964" spans="1:9" x14ac:dyDescent="0.3">
      <c r="A1964" s="1">
        <v>46199</v>
      </c>
      <c r="B1964">
        <v>2026</v>
      </c>
      <c r="C1964">
        <v>6</v>
      </c>
      <c r="D1964" t="s">
        <v>42</v>
      </c>
      <c r="E1964" t="s">
        <v>43</v>
      </c>
      <c r="F1964" t="s">
        <v>25</v>
      </c>
      <c r="G1964" t="s">
        <v>21</v>
      </c>
      <c r="H1964">
        <v>1</v>
      </c>
      <c r="I1964">
        <v>12000</v>
      </c>
    </row>
    <row r="1965" spans="1:9" x14ac:dyDescent="0.3">
      <c r="A1965" s="1">
        <v>46252</v>
      </c>
      <c r="B1965">
        <v>2026</v>
      </c>
      <c r="C1965">
        <v>8</v>
      </c>
      <c r="D1965" t="s">
        <v>51</v>
      </c>
      <c r="E1965" t="s">
        <v>45</v>
      </c>
      <c r="F1965" t="s">
        <v>25</v>
      </c>
      <c r="G1965" t="s">
        <v>21</v>
      </c>
      <c r="H1965">
        <v>2</v>
      </c>
      <c r="I1965">
        <v>24000</v>
      </c>
    </row>
    <row r="1966" spans="1:9" x14ac:dyDescent="0.3">
      <c r="A1966" s="1">
        <v>46325</v>
      </c>
      <c r="B1966">
        <v>2026</v>
      </c>
      <c r="C1966">
        <v>10</v>
      </c>
      <c r="D1966" t="s">
        <v>42</v>
      </c>
      <c r="E1966" t="s">
        <v>43</v>
      </c>
      <c r="F1966" t="s">
        <v>25</v>
      </c>
      <c r="G1966" t="s">
        <v>21</v>
      </c>
      <c r="H1966">
        <v>3</v>
      </c>
      <c r="I1966">
        <v>36000</v>
      </c>
    </row>
    <row r="1967" spans="1:9" x14ac:dyDescent="0.3">
      <c r="A1967" s="1">
        <v>46260</v>
      </c>
      <c r="B1967">
        <v>2026</v>
      </c>
      <c r="C1967">
        <v>8</v>
      </c>
      <c r="D1967" t="s">
        <v>49</v>
      </c>
      <c r="E1967" t="s">
        <v>47</v>
      </c>
      <c r="F1967" t="s">
        <v>25</v>
      </c>
      <c r="G1967" t="s">
        <v>21</v>
      </c>
      <c r="H1967">
        <v>1</v>
      </c>
      <c r="I1967">
        <v>12000</v>
      </c>
    </row>
    <row r="1968" spans="1:9" x14ac:dyDescent="0.3">
      <c r="A1968" s="1">
        <v>46099</v>
      </c>
      <c r="B1968">
        <v>2026</v>
      </c>
      <c r="C1968">
        <v>3</v>
      </c>
      <c r="D1968" t="s">
        <v>46</v>
      </c>
      <c r="E1968" t="s">
        <v>47</v>
      </c>
      <c r="F1968" t="s">
        <v>25</v>
      </c>
      <c r="G1968" t="s">
        <v>21</v>
      </c>
      <c r="H1968">
        <v>2</v>
      </c>
      <c r="I1968">
        <v>24000</v>
      </c>
    </row>
    <row r="1969" spans="1:9" x14ac:dyDescent="0.3">
      <c r="A1969" s="1">
        <v>46198</v>
      </c>
      <c r="B1969">
        <v>2026</v>
      </c>
      <c r="C1969">
        <v>6</v>
      </c>
      <c r="D1969" t="s">
        <v>48</v>
      </c>
      <c r="E1969" t="s">
        <v>43</v>
      </c>
      <c r="F1969" t="s">
        <v>25</v>
      </c>
      <c r="G1969" t="s">
        <v>21</v>
      </c>
      <c r="H1969">
        <v>3</v>
      </c>
      <c r="I1969">
        <v>36000</v>
      </c>
    </row>
    <row r="1970" spans="1:9" x14ac:dyDescent="0.3">
      <c r="A1970" s="1">
        <v>46054</v>
      </c>
      <c r="B1970">
        <v>2026</v>
      </c>
      <c r="C1970">
        <v>2</v>
      </c>
      <c r="D1970" t="s">
        <v>50</v>
      </c>
      <c r="E1970" t="s">
        <v>41</v>
      </c>
      <c r="F1970" t="s">
        <v>25</v>
      </c>
      <c r="G1970" t="s">
        <v>21</v>
      </c>
      <c r="H1970">
        <v>4</v>
      </c>
      <c r="I1970">
        <v>48000</v>
      </c>
    </row>
    <row r="1971" spans="1:9" x14ac:dyDescent="0.3">
      <c r="A1971" s="1">
        <v>46236</v>
      </c>
      <c r="B1971">
        <v>2026</v>
      </c>
      <c r="C1971">
        <v>8</v>
      </c>
      <c r="D1971" t="s">
        <v>42</v>
      </c>
      <c r="E1971" t="s">
        <v>43</v>
      </c>
      <c r="F1971" t="s">
        <v>25</v>
      </c>
      <c r="G1971" t="s">
        <v>21</v>
      </c>
      <c r="H1971">
        <v>4</v>
      </c>
      <c r="I1971">
        <v>48000</v>
      </c>
    </row>
    <row r="1972" spans="1:9" x14ac:dyDescent="0.3">
      <c r="A1972" s="1">
        <v>46282</v>
      </c>
      <c r="B1972">
        <v>2026</v>
      </c>
      <c r="C1972">
        <v>9</v>
      </c>
      <c r="D1972" t="s">
        <v>51</v>
      </c>
      <c r="E1972" t="s">
        <v>45</v>
      </c>
      <c r="F1972" t="s">
        <v>25</v>
      </c>
      <c r="G1972" t="s">
        <v>21</v>
      </c>
      <c r="H1972">
        <v>1</v>
      </c>
      <c r="I1972">
        <v>12000</v>
      </c>
    </row>
    <row r="1973" spans="1:9" x14ac:dyDescent="0.3">
      <c r="A1973" s="1">
        <v>46224</v>
      </c>
      <c r="B1973">
        <v>2026</v>
      </c>
      <c r="C1973">
        <v>7</v>
      </c>
      <c r="D1973" t="s">
        <v>49</v>
      </c>
      <c r="E1973" t="s">
        <v>47</v>
      </c>
      <c r="F1973" t="s">
        <v>25</v>
      </c>
      <c r="G1973" t="s">
        <v>21</v>
      </c>
      <c r="H1973">
        <v>3</v>
      </c>
      <c r="I1973">
        <v>36000</v>
      </c>
    </row>
    <row r="1974" spans="1:9" x14ac:dyDescent="0.3">
      <c r="A1974" s="1">
        <v>46280</v>
      </c>
      <c r="B1974">
        <v>2026</v>
      </c>
      <c r="C1974">
        <v>9</v>
      </c>
      <c r="D1974" t="s">
        <v>48</v>
      </c>
      <c r="E1974" t="s">
        <v>43</v>
      </c>
      <c r="F1974" t="s">
        <v>25</v>
      </c>
      <c r="G1974" t="s">
        <v>21</v>
      </c>
      <c r="H1974">
        <v>3</v>
      </c>
      <c r="I1974">
        <v>36000</v>
      </c>
    </row>
    <row r="1975" spans="1:9" x14ac:dyDescent="0.3">
      <c r="A1975" s="1">
        <v>46211</v>
      </c>
      <c r="B1975">
        <v>2026</v>
      </c>
      <c r="C1975">
        <v>7</v>
      </c>
      <c r="D1975" t="s">
        <v>40</v>
      </c>
      <c r="E1975" t="s">
        <v>41</v>
      </c>
      <c r="F1975" t="s">
        <v>25</v>
      </c>
      <c r="G1975" t="s">
        <v>21</v>
      </c>
      <c r="H1975">
        <v>5</v>
      </c>
      <c r="I1975">
        <v>60000</v>
      </c>
    </row>
    <row r="1976" spans="1:9" x14ac:dyDescent="0.3">
      <c r="A1976" s="1">
        <v>46275</v>
      </c>
      <c r="B1976">
        <v>2026</v>
      </c>
      <c r="C1976">
        <v>9</v>
      </c>
      <c r="D1976" t="s">
        <v>50</v>
      </c>
      <c r="E1976" t="s">
        <v>41</v>
      </c>
      <c r="F1976" t="s">
        <v>25</v>
      </c>
      <c r="G1976" t="s">
        <v>21</v>
      </c>
      <c r="H1976">
        <v>5</v>
      </c>
      <c r="I1976">
        <v>60000</v>
      </c>
    </row>
    <row r="1977" spans="1:9" x14ac:dyDescent="0.3">
      <c r="A1977" s="1">
        <v>46117</v>
      </c>
      <c r="B1977">
        <v>2026</v>
      </c>
      <c r="C1977">
        <v>4</v>
      </c>
      <c r="D1977" t="s">
        <v>49</v>
      </c>
      <c r="E1977" t="s">
        <v>47</v>
      </c>
      <c r="F1977" t="s">
        <v>25</v>
      </c>
      <c r="G1977" t="s">
        <v>21</v>
      </c>
      <c r="H1977">
        <v>1</v>
      </c>
      <c r="I1977">
        <v>12000</v>
      </c>
    </row>
    <row r="1978" spans="1:9" x14ac:dyDescent="0.3">
      <c r="A1978" s="1">
        <v>46051</v>
      </c>
      <c r="B1978">
        <v>2026</v>
      </c>
      <c r="C1978">
        <v>1</v>
      </c>
      <c r="D1978" t="s">
        <v>50</v>
      </c>
      <c r="E1978" t="s">
        <v>41</v>
      </c>
      <c r="F1978" t="s">
        <v>25</v>
      </c>
      <c r="G1978" t="s">
        <v>21</v>
      </c>
      <c r="H1978">
        <v>4</v>
      </c>
      <c r="I1978">
        <v>48000</v>
      </c>
    </row>
    <row r="1979" spans="1:9" x14ac:dyDescent="0.3">
      <c r="A1979" s="1">
        <v>46319</v>
      </c>
      <c r="B1979">
        <v>2026</v>
      </c>
      <c r="C1979">
        <v>10</v>
      </c>
      <c r="D1979" t="s">
        <v>48</v>
      </c>
      <c r="E1979" t="s">
        <v>43</v>
      </c>
      <c r="F1979" t="s">
        <v>25</v>
      </c>
      <c r="G1979" t="s">
        <v>21</v>
      </c>
      <c r="H1979">
        <v>1</v>
      </c>
      <c r="I1979">
        <v>12000</v>
      </c>
    </row>
    <row r="1980" spans="1:9" x14ac:dyDescent="0.3">
      <c r="A1980" s="1">
        <v>46133</v>
      </c>
      <c r="B1980">
        <v>2026</v>
      </c>
      <c r="C1980">
        <v>4</v>
      </c>
      <c r="D1980" t="s">
        <v>44</v>
      </c>
      <c r="E1980" t="s">
        <v>45</v>
      </c>
      <c r="F1980" t="s">
        <v>25</v>
      </c>
      <c r="G1980" t="s">
        <v>21</v>
      </c>
      <c r="H1980">
        <v>3</v>
      </c>
      <c r="I1980">
        <v>36000</v>
      </c>
    </row>
    <row r="1981" spans="1:9" x14ac:dyDescent="0.3">
      <c r="A1981" s="1">
        <v>46204</v>
      </c>
      <c r="B1981">
        <v>2026</v>
      </c>
      <c r="C1981">
        <v>7</v>
      </c>
      <c r="D1981" t="s">
        <v>40</v>
      </c>
      <c r="E1981" t="s">
        <v>41</v>
      </c>
      <c r="F1981" t="s">
        <v>25</v>
      </c>
      <c r="G1981" t="s">
        <v>21</v>
      </c>
      <c r="H1981">
        <v>2</v>
      </c>
      <c r="I1981">
        <v>24000</v>
      </c>
    </row>
    <row r="1982" spans="1:9" x14ac:dyDescent="0.3">
      <c r="A1982" s="1">
        <v>46164</v>
      </c>
      <c r="B1982">
        <v>2026</v>
      </c>
      <c r="C1982">
        <v>5</v>
      </c>
      <c r="D1982" t="s">
        <v>51</v>
      </c>
      <c r="E1982" t="s">
        <v>45</v>
      </c>
      <c r="F1982" t="s">
        <v>25</v>
      </c>
      <c r="G1982" t="s">
        <v>21</v>
      </c>
      <c r="H1982">
        <v>3</v>
      </c>
      <c r="I1982">
        <v>36000</v>
      </c>
    </row>
    <row r="1983" spans="1:9" x14ac:dyDescent="0.3">
      <c r="A1983" s="1">
        <v>46312</v>
      </c>
      <c r="B1983">
        <v>2026</v>
      </c>
      <c r="C1983">
        <v>10</v>
      </c>
      <c r="D1983" t="s">
        <v>48</v>
      </c>
      <c r="E1983" t="s">
        <v>43</v>
      </c>
      <c r="F1983" t="s">
        <v>25</v>
      </c>
      <c r="G1983" t="s">
        <v>21</v>
      </c>
      <c r="H1983">
        <v>5</v>
      </c>
      <c r="I1983">
        <v>60000</v>
      </c>
    </row>
    <row r="1984" spans="1:9" x14ac:dyDescent="0.3">
      <c r="A1984" s="1">
        <v>46252</v>
      </c>
      <c r="B1984">
        <v>2026</v>
      </c>
      <c r="C1984">
        <v>8</v>
      </c>
      <c r="D1984" t="s">
        <v>51</v>
      </c>
      <c r="E1984" t="s">
        <v>45</v>
      </c>
      <c r="F1984" t="s">
        <v>25</v>
      </c>
      <c r="G1984" t="s">
        <v>21</v>
      </c>
      <c r="H1984">
        <v>4</v>
      </c>
      <c r="I1984">
        <v>48000</v>
      </c>
    </row>
    <row r="1985" spans="1:9" x14ac:dyDescent="0.3">
      <c r="A1985" s="1">
        <v>46210</v>
      </c>
      <c r="B1985">
        <v>2026</v>
      </c>
      <c r="C1985">
        <v>7</v>
      </c>
      <c r="D1985" t="s">
        <v>50</v>
      </c>
      <c r="E1985" t="s">
        <v>41</v>
      </c>
      <c r="F1985" t="s">
        <v>25</v>
      </c>
      <c r="G1985" t="s">
        <v>21</v>
      </c>
      <c r="H1985">
        <v>2</v>
      </c>
      <c r="I1985">
        <v>24000</v>
      </c>
    </row>
    <row r="1986" spans="1:9" x14ac:dyDescent="0.3">
      <c r="A1986" s="1">
        <v>46038</v>
      </c>
      <c r="B1986">
        <v>2026</v>
      </c>
      <c r="C1986">
        <v>1</v>
      </c>
      <c r="D1986" t="s">
        <v>40</v>
      </c>
      <c r="E1986" t="s">
        <v>41</v>
      </c>
      <c r="F1986" t="s">
        <v>25</v>
      </c>
      <c r="G1986" t="s">
        <v>21</v>
      </c>
      <c r="H1986">
        <v>1</v>
      </c>
      <c r="I1986">
        <v>12000</v>
      </c>
    </row>
    <row r="1987" spans="1:9" x14ac:dyDescent="0.3">
      <c r="A1987" s="1">
        <v>46323</v>
      </c>
      <c r="B1987">
        <v>2026</v>
      </c>
      <c r="C1987">
        <v>10</v>
      </c>
      <c r="D1987" t="s">
        <v>50</v>
      </c>
      <c r="E1987" t="s">
        <v>41</v>
      </c>
      <c r="F1987" t="s">
        <v>25</v>
      </c>
      <c r="G1987" t="s">
        <v>21</v>
      </c>
      <c r="H1987">
        <v>4</v>
      </c>
      <c r="I1987">
        <v>48000</v>
      </c>
    </row>
    <row r="1988" spans="1:9" x14ac:dyDescent="0.3">
      <c r="A1988" s="1">
        <v>46222</v>
      </c>
      <c r="B1988">
        <v>2026</v>
      </c>
      <c r="C1988">
        <v>7</v>
      </c>
      <c r="D1988" t="s">
        <v>48</v>
      </c>
      <c r="E1988" t="s">
        <v>43</v>
      </c>
      <c r="F1988" t="s">
        <v>25</v>
      </c>
      <c r="G1988" t="s">
        <v>21</v>
      </c>
      <c r="H1988">
        <v>1</v>
      </c>
      <c r="I1988">
        <v>12000</v>
      </c>
    </row>
    <row r="1989" spans="1:9" x14ac:dyDescent="0.3">
      <c r="A1989" s="1">
        <v>46038</v>
      </c>
      <c r="B1989">
        <v>2026</v>
      </c>
      <c r="C1989">
        <v>1</v>
      </c>
      <c r="D1989" t="s">
        <v>42</v>
      </c>
      <c r="E1989" t="s">
        <v>43</v>
      </c>
      <c r="F1989" t="s">
        <v>25</v>
      </c>
      <c r="G1989" t="s">
        <v>21</v>
      </c>
      <c r="H1989">
        <v>1</v>
      </c>
      <c r="I1989">
        <v>12000</v>
      </c>
    </row>
    <row r="1990" spans="1:9" x14ac:dyDescent="0.3">
      <c r="A1990" s="1">
        <v>46172</v>
      </c>
      <c r="B1990">
        <v>2026</v>
      </c>
      <c r="C1990">
        <v>5</v>
      </c>
      <c r="D1990" t="s">
        <v>49</v>
      </c>
      <c r="E1990" t="s">
        <v>47</v>
      </c>
      <c r="F1990" t="s">
        <v>25</v>
      </c>
      <c r="G1990" t="s">
        <v>21</v>
      </c>
      <c r="H1990">
        <v>3</v>
      </c>
      <c r="I1990">
        <v>36000</v>
      </c>
    </row>
    <row r="1991" spans="1:9" x14ac:dyDescent="0.3">
      <c r="A1991" s="1">
        <v>46141</v>
      </c>
      <c r="B1991">
        <v>2026</v>
      </c>
      <c r="C1991">
        <v>4</v>
      </c>
      <c r="D1991" t="s">
        <v>50</v>
      </c>
      <c r="E1991" t="s">
        <v>41</v>
      </c>
      <c r="F1991" t="s">
        <v>25</v>
      </c>
      <c r="G1991" t="s">
        <v>21</v>
      </c>
      <c r="H1991">
        <v>2</v>
      </c>
      <c r="I1991">
        <v>24000</v>
      </c>
    </row>
    <row r="1992" spans="1:9" x14ac:dyDescent="0.3">
      <c r="A1992" s="1">
        <v>46040</v>
      </c>
      <c r="B1992">
        <v>2026</v>
      </c>
      <c r="C1992">
        <v>1</v>
      </c>
      <c r="D1992" t="s">
        <v>51</v>
      </c>
      <c r="E1992" t="s">
        <v>45</v>
      </c>
      <c r="F1992" t="s">
        <v>25</v>
      </c>
      <c r="G1992" t="s">
        <v>21</v>
      </c>
      <c r="H1992">
        <v>1</v>
      </c>
      <c r="I1992">
        <v>12000</v>
      </c>
    </row>
    <row r="1993" spans="1:9" x14ac:dyDescent="0.3">
      <c r="A1993" s="1">
        <v>46117</v>
      </c>
      <c r="B1993">
        <v>2026</v>
      </c>
      <c r="C1993">
        <v>4</v>
      </c>
      <c r="D1993" t="s">
        <v>44</v>
      </c>
      <c r="E1993" t="s">
        <v>45</v>
      </c>
      <c r="F1993" t="s">
        <v>25</v>
      </c>
      <c r="G1993" t="s">
        <v>21</v>
      </c>
      <c r="H1993">
        <v>1</v>
      </c>
      <c r="I1993">
        <v>12000</v>
      </c>
    </row>
    <row r="1994" spans="1:9" x14ac:dyDescent="0.3">
      <c r="A1994" s="1">
        <v>46246</v>
      </c>
      <c r="B1994">
        <v>2026</v>
      </c>
      <c r="C1994">
        <v>8</v>
      </c>
      <c r="D1994" t="s">
        <v>48</v>
      </c>
      <c r="E1994" t="s">
        <v>43</v>
      </c>
      <c r="F1994" t="s">
        <v>25</v>
      </c>
      <c r="G1994" t="s">
        <v>21</v>
      </c>
      <c r="H1994">
        <v>3</v>
      </c>
      <c r="I1994">
        <v>36000</v>
      </c>
    </row>
    <row r="1995" spans="1:9" x14ac:dyDescent="0.3">
      <c r="A1995" s="1">
        <v>46210</v>
      </c>
      <c r="B1995">
        <v>2026</v>
      </c>
      <c r="C1995">
        <v>7</v>
      </c>
      <c r="D1995" t="s">
        <v>50</v>
      </c>
      <c r="E1995" t="s">
        <v>41</v>
      </c>
      <c r="F1995" t="s">
        <v>25</v>
      </c>
      <c r="G1995" t="s">
        <v>21</v>
      </c>
      <c r="H1995">
        <v>2</v>
      </c>
      <c r="I1995">
        <v>24000</v>
      </c>
    </row>
    <row r="1996" spans="1:9" x14ac:dyDescent="0.3">
      <c r="A1996" s="1">
        <v>46046</v>
      </c>
      <c r="B1996">
        <v>2026</v>
      </c>
      <c r="C1996">
        <v>1</v>
      </c>
      <c r="D1996" t="s">
        <v>50</v>
      </c>
      <c r="E1996" t="s">
        <v>41</v>
      </c>
      <c r="F1996" t="s">
        <v>25</v>
      </c>
      <c r="G1996" t="s">
        <v>21</v>
      </c>
      <c r="H1996">
        <v>3</v>
      </c>
      <c r="I1996">
        <v>36000</v>
      </c>
    </row>
    <row r="1997" spans="1:9" x14ac:dyDescent="0.3">
      <c r="A1997" s="1">
        <v>46252</v>
      </c>
      <c r="B1997">
        <v>2026</v>
      </c>
      <c r="C1997">
        <v>8</v>
      </c>
      <c r="D1997" t="s">
        <v>42</v>
      </c>
      <c r="E1997" t="s">
        <v>43</v>
      </c>
      <c r="F1997" t="s">
        <v>25</v>
      </c>
      <c r="G1997" t="s">
        <v>21</v>
      </c>
      <c r="H1997">
        <v>5</v>
      </c>
      <c r="I1997">
        <v>60000</v>
      </c>
    </row>
    <row r="1998" spans="1:9" x14ac:dyDescent="0.3">
      <c r="A1998" s="1">
        <v>46105</v>
      </c>
      <c r="B1998">
        <v>2026</v>
      </c>
      <c r="C1998">
        <v>3</v>
      </c>
      <c r="D1998" t="s">
        <v>46</v>
      </c>
      <c r="E1998" t="s">
        <v>47</v>
      </c>
      <c r="F1998" t="s">
        <v>25</v>
      </c>
      <c r="G1998" t="s">
        <v>21</v>
      </c>
      <c r="H1998">
        <v>1</v>
      </c>
      <c r="I1998">
        <v>12000</v>
      </c>
    </row>
    <row r="1999" spans="1:9" x14ac:dyDescent="0.3">
      <c r="A1999" s="1">
        <v>46306</v>
      </c>
      <c r="B1999">
        <v>2026</v>
      </c>
      <c r="C1999">
        <v>10</v>
      </c>
      <c r="D1999" t="s">
        <v>49</v>
      </c>
      <c r="E1999" t="s">
        <v>47</v>
      </c>
      <c r="F1999" t="s">
        <v>25</v>
      </c>
      <c r="G1999" t="s">
        <v>21</v>
      </c>
      <c r="H1999">
        <v>2</v>
      </c>
      <c r="I1999">
        <v>24000</v>
      </c>
    </row>
    <row r="2000" spans="1:9" x14ac:dyDescent="0.3">
      <c r="A2000" s="1">
        <v>46187</v>
      </c>
      <c r="B2000">
        <v>2026</v>
      </c>
      <c r="C2000">
        <v>6</v>
      </c>
      <c r="D2000" t="s">
        <v>42</v>
      </c>
      <c r="E2000" t="s">
        <v>43</v>
      </c>
      <c r="F2000" t="s">
        <v>25</v>
      </c>
      <c r="G2000" t="s">
        <v>21</v>
      </c>
      <c r="H2000">
        <v>1</v>
      </c>
      <c r="I2000">
        <v>12000</v>
      </c>
    </row>
    <row r="2001" spans="1:9" x14ac:dyDescent="0.3">
      <c r="A2001" s="1">
        <v>46206</v>
      </c>
      <c r="B2001">
        <v>2026</v>
      </c>
      <c r="C2001">
        <v>7</v>
      </c>
      <c r="D2001" t="s">
        <v>51</v>
      </c>
      <c r="E2001" t="s">
        <v>45</v>
      </c>
      <c r="F2001" t="s">
        <v>25</v>
      </c>
      <c r="G2001" t="s">
        <v>21</v>
      </c>
      <c r="H2001">
        <v>3</v>
      </c>
      <c r="I2001">
        <v>36000</v>
      </c>
    </row>
    <row r="2002" spans="1:9" x14ac:dyDescent="0.3">
      <c r="A2002" s="1">
        <v>46080</v>
      </c>
      <c r="B2002">
        <v>2026</v>
      </c>
      <c r="C2002">
        <v>2</v>
      </c>
      <c r="D2002" t="s">
        <v>49</v>
      </c>
      <c r="E2002" t="s">
        <v>47</v>
      </c>
      <c r="F2002" t="s">
        <v>25</v>
      </c>
      <c r="G2002" t="s">
        <v>21</v>
      </c>
      <c r="H2002">
        <v>1</v>
      </c>
      <c r="I2002">
        <v>12000</v>
      </c>
    </row>
    <row r="2003" spans="1:9" x14ac:dyDescent="0.3">
      <c r="A2003" s="1">
        <v>46037</v>
      </c>
      <c r="B2003">
        <v>2026</v>
      </c>
      <c r="C2003">
        <v>1</v>
      </c>
      <c r="D2003" t="s">
        <v>50</v>
      </c>
      <c r="E2003" t="s">
        <v>41</v>
      </c>
      <c r="F2003" t="s">
        <v>25</v>
      </c>
      <c r="G2003" t="s">
        <v>21</v>
      </c>
      <c r="H2003">
        <v>1</v>
      </c>
      <c r="I2003">
        <v>12000</v>
      </c>
    </row>
    <row r="2004" spans="1:9" x14ac:dyDescent="0.3">
      <c r="A2004" s="1">
        <v>46221</v>
      </c>
      <c r="B2004">
        <v>2026</v>
      </c>
      <c r="C2004">
        <v>7</v>
      </c>
      <c r="D2004" t="s">
        <v>48</v>
      </c>
      <c r="E2004" t="s">
        <v>43</v>
      </c>
      <c r="F2004" t="s">
        <v>25</v>
      </c>
      <c r="G2004" t="s">
        <v>21</v>
      </c>
      <c r="H2004">
        <v>1</v>
      </c>
      <c r="I2004">
        <v>12000</v>
      </c>
    </row>
    <row r="2005" spans="1:9" x14ac:dyDescent="0.3">
      <c r="A2005" s="1">
        <v>46249</v>
      </c>
      <c r="B2005">
        <v>2026</v>
      </c>
      <c r="C2005">
        <v>8</v>
      </c>
      <c r="D2005" t="s">
        <v>49</v>
      </c>
      <c r="E2005" t="s">
        <v>47</v>
      </c>
      <c r="F2005" t="s">
        <v>25</v>
      </c>
      <c r="G2005" t="s">
        <v>21</v>
      </c>
      <c r="H2005">
        <v>2</v>
      </c>
      <c r="I2005">
        <v>24000</v>
      </c>
    </row>
    <row r="2006" spans="1:9" x14ac:dyDescent="0.3">
      <c r="A2006" s="1">
        <v>46269</v>
      </c>
      <c r="B2006">
        <v>2026</v>
      </c>
      <c r="C2006">
        <v>9</v>
      </c>
      <c r="D2006" t="s">
        <v>50</v>
      </c>
      <c r="E2006" t="s">
        <v>41</v>
      </c>
      <c r="F2006" t="s">
        <v>25</v>
      </c>
      <c r="G2006" t="s">
        <v>21</v>
      </c>
      <c r="H2006">
        <v>3</v>
      </c>
      <c r="I2006">
        <v>36000</v>
      </c>
    </row>
    <row r="2007" spans="1:9" x14ac:dyDescent="0.3">
      <c r="A2007" s="1">
        <v>46219</v>
      </c>
      <c r="B2007">
        <v>2026</v>
      </c>
      <c r="C2007">
        <v>7</v>
      </c>
      <c r="D2007" t="s">
        <v>44</v>
      </c>
      <c r="E2007" t="s">
        <v>45</v>
      </c>
      <c r="F2007" t="s">
        <v>25</v>
      </c>
      <c r="G2007" t="s">
        <v>21</v>
      </c>
      <c r="H2007">
        <v>5</v>
      </c>
      <c r="I2007">
        <v>60000</v>
      </c>
    </row>
    <row r="2008" spans="1:9" x14ac:dyDescent="0.3">
      <c r="A2008" s="1">
        <v>46204</v>
      </c>
      <c r="B2008">
        <v>2026</v>
      </c>
      <c r="C2008">
        <v>7</v>
      </c>
      <c r="D2008" t="s">
        <v>48</v>
      </c>
      <c r="E2008" t="s">
        <v>43</v>
      </c>
      <c r="F2008" t="s">
        <v>25</v>
      </c>
      <c r="G2008" t="s">
        <v>21</v>
      </c>
      <c r="H2008">
        <v>5</v>
      </c>
      <c r="I2008">
        <v>60000</v>
      </c>
    </row>
    <row r="2009" spans="1:9" x14ac:dyDescent="0.3">
      <c r="A2009" s="1">
        <v>46133</v>
      </c>
      <c r="B2009">
        <v>2026</v>
      </c>
      <c r="C2009">
        <v>4</v>
      </c>
      <c r="D2009" t="s">
        <v>49</v>
      </c>
      <c r="E2009" t="s">
        <v>47</v>
      </c>
      <c r="F2009" t="s">
        <v>25</v>
      </c>
      <c r="G2009" t="s">
        <v>21</v>
      </c>
      <c r="H2009">
        <v>2</v>
      </c>
      <c r="I2009">
        <v>24000</v>
      </c>
    </row>
    <row r="2010" spans="1:9" x14ac:dyDescent="0.3">
      <c r="A2010" s="1">
        <v>46150</v>
      </c>
      <c r="B2010">
        <v>2026</v>
      </c>
      <c r="C2010">
        <v>5</v>
      </c>
      <c r="D2010" t="s">
        <v>50</v>
      </c>
      <c r="E2010" t="s">
        <v>41</v>
      </c>
      <c r="F2010" t="s">
        <v>25</v>
      </c>
      <c r="G2010" t="s">
        <v>21</v>
      </c>
      <c r="H2010">
        <v>5</v>
      </c>
      <c r="I2010">
        <v>60000</v>
      </c>
    </row>
    <row r="2011" spans="1:9" x14ac:dyDescent="0.3">
      <c r="A2011" s="1">
        <v>46307</v>
      </c>
      <c r="B2011">
        <v>2026</v>
      </c>
      <c r="C2011">
        <v>10</v>
      </c>
      <c r="D2011" t="s">
        <v>46</v>
      </c>
      <c r="E2011" t="s">
        <v>47</v>
      </c>
      <c r="F2011" t="s">
        <v>25</v>
      </c>
      <c r="G2011" t="s">
        <v>21</v>
      </c>
      <c r="H2011">
        <v>4</v>
      </c>
      <c r="I2011">
        <v>48000</v>
      </c>
    </row>
    <row r="2012" spans="1:9" x14ac:dyDescent="0.3">
      <c r="A2012" s="1">
        <v>46106</v>
      </c>
      <c r="B2012">
        <v>2026</v>
      </c>
      <c r="C2012">
        <v>3</v>
      </c>
      <c r="D2012" t="s">
        <v>46</v>
      </c>
      <c r="E2012" t="s">
        <v>47</v>
      </c>
      <c r="F2012" t="s">
        <v>25</v>
      </c>
      <c r="G2012" t="s">
        <v>21</v>
      </c>
      <c r="H2012">
        <v>2</v>
      </c>
      <c r="I2012">
        <v>24000</v>
      </c>
    </row>
    <row r="2013" spans="1:9" x14ac:dyDescent="0.3">
      <c r="A2013" s="1">
        <v>46318</v>
      </c>
      <c r="B2013">
        <v>2026</v>
      </c>
      <c r="C2013">
        <v>10</v>
      </c>
      <c r="D2013" t="s">
        <v>40</v>
      </c>
      <c r="E2013" t="s">
        <v>41</v>
      </c>
      <c r="F2013" t="s">
        <v>25</v>
      </c>
      <c r="G2013" t="s">
        <v>21</v>
      </c>
      <c r="H2013">
        <v>1</v>
      </c>
      <c r="I2013">
        <v>12000</v>
      </c>
    </row>
    <row r="2014" spans="1:9" x14ac:dyDescent="0.3">
      <c r="A2014" s="1">
        <v>46245</v>
      </c>
      <c r="B2014">
        <v>2026</v>
      </c>
      <c r="C2014">
        <v>8</v>
      </c>
      <c r="D2014" t="s">
        <v>46</v>
      </c>
      <c r="E2014" t="s">
        <v>47</v>
      </c>
      <c r="F2014" t="s">
        <v>25</v>
      </c>
      <c r="G2014" t="s">
        <v>21</v>
      </c>
      <c r="H2014">
        <v>3</v>
      </c>
      <c r="I2014">
        <v>36000</v>
      </c>
    </row>
    <row r="2015" spans="1:9" x14ac:dyDescent="0.3">
      <c r="A2015" s="1">
        <v>46080</v>
      </c>
      <c r="B2015">
        <v>2026</v>
      </c>
      <c r="C2015">
        <v>2</v>
      </c>
      <c r="D2015" t="s">
        <v>51</v>
      </c>
      <c r="E2015" t="s">
        <v>45</v>
      </c>
      <c r="F2015" t="s">
        <v>25</v>
      </c>
      <c r="G2015" t="s">
        <v>21</v>
      </c>
      <c r="H2015">
        <v>5</v>
      </c>
      <c r="I2015">
        <v>60000</v>
      </c>
    </row>
    <row r="2016" spans="1:9" x14ac:dyDescent="0.3">
      <c r="A2016" s="1">
        <v>46135</v>
      </c>
      <c r="B2016">
        <v>2026</v>
      </c>
      <c r="C2016">
        <v>4</v>
      </c>
      <c r="D2016" t="s">
        <v>40</v>
      </c>
      <c r="E2016" t="s">
        <v>41</v>
      </c>
      <c r="F2016" t="s">
        <v>25</v>
      </c>
      <c r="G2016" t="s">
        <v>21</v>
      </c>
      <c r="H2016">
        <v>2</v>
      </c>
      <c r="I2016">
        <v>24000</v>
      </c>
    </row>
    <row r="2017" spans="1:9" x14ac:dyDescent="0.3">
      <c r="A2017" s="1">
        <v>46137</v>
      </c>
      <c r="B2017">
        <v>2026</v>
      </c>
      <c r="C2017">
        <v>4</v>
      </c>
      <c r="D2017" t="s">
        <v>40</v>
      </c>
      <c r="E2017" t="s">
        <v>41</v>
      </c>
      <c r="F2017" t="s">
        <v>20</v>
      </c>
      <c r="G2017" t="s">
        <v>21</v>
      </c>
      <c r="H2017">
        <v>2</v>
      </c>
      <c r="I2017">
        <v>110000</v>
      </c>
    </row>
    <row r="2018" spans="1:9" x14ac:dyDescent="0.3">
      <c r="A2018" s="1">
        <v>46155</v>
      </c>
      <c r="B2018">
        <v>2026</v>
      </c>
      <c r="C2018">
        <v>5</v>
      </c>
      <c r="D2018" t="s">
        <v>44</v>
      </c>
      <c r="E2018" t="s">
        <v>45</v>
      </c>
      <c r="F2018" t="s">
        <v>20</v>
      </c>
      <c r="G2018" t="s">
        <v>21</v>
      </c>
      <c r="H2018">
        <v>5</v>
      </c>
      <c r="I2018">
        <v>275000</v>
      </c>
    </row>
    <row r="2019" spans="1:9" x14ac:dyDescent="0.3">
      <c r="A2019" s="1">
        <v>46139</v>
      </c>
      <c r="B2019">
        <v>2026</v>
      </c>
      <c r="C2019">
        <v>4</v>
      </c>
      <c r="D2019" t="s">
        <v>44</v>
      </c>
      <c r="E2019" t="s">
        <v>45</v>
      </c>
      <c r="F2019" t="s">
        <v>20</v>
      </c>
      <c r="G2019" t="s">
        <v>21</v>
      </c>
      <c r="H2019">
        <v>3</v>
      </c>
      <c r="I2019">
        <v>165000</v>
      </c>
    </row>
    <row r="2020" spans="1:9" x14ac:dyDescent="0.3">
      <c r="A2020" s="1">
        <v>46240</v>
      </c>
      <c r="B2020">
        <v>2026</v>
      </c>
      <c r="C2020">
        <v>8</v>
      </c>
      <c r="D2020" t="s">
        <v>49</v>
      </c>
      <c r="E2020" t="s">
        <v>47</v>
      </c>
      <c r="F2020" t="s">
        <v>20</v>
      </c>
      <c r="G2020" t="s">
        <v>21</v>
      </c>
      <c r="H2020">
        <v>5</v>
      </c>
      <c r="I2020">
        <v>275000</v>
      </c>
    </row>
    <row r="2021" spans="1:9" x14ac:dyDescent="0.3">
      <c r="A2021" s="1">
        <v>46298</v>
      </c>
      <c r="B2021">
        <v>2026</v>
      </c>
      <c r="C2021">
        <v>10</v>
      </c>
      <c r="D2021" t="s">
        <v>40</v>
      </c>
      <c r="E2021" t="s">
        <v>41</v>
      </c>
      <c r="F2021" t="s">
        <v>20</v>
      </c>
      <c r="G2021" t="s">
        <v>21</v>
      </c>
      <c r="H2021">
        <v>4</v>
      </c>
      <c r="I2021">
        <v>220000</v>
      </c>
    </row>
    <row r="2022" spans="1:9" x14ac:dyDescent="0.3">
      <c r="A2022" s="1">
        <v>46105</v>
      </c>
      <c r="B2022">
        <v>2026</v>
      </c>
      <c r="C2022">
        <v>3</v>
      </c>
      <c r="D2022" t="s">
        <v>51</v>
      </c>
      <c r="E2022" t="s">
        <v>45</v>
      </c>
      <c r="F2022" t="s">
        <v>20</v>
      </c>
      <c r="G2022" t="s">
        <v>21</v>
      </c>
      <c r="H2022">
        <v>1</v>
      </c>
      <c r="I2022">
        <v>55000</v>
      </c>
    </row>
    <row r="2023" spans="1:9" x14ac:dyDescent="0.3">
      <c r="A2023" s="1">
        <v>46205</v>
      </c>
      <c r="B2023">
        <v>2026</v>
      </c>
      <c r="C2023">
        <v>7</v>
      </c>
      <c r="D2023" t="s">
        <v>50</v>
      </c>
      <c r="E2023" t="s">
        <v>41</v>
      </c>
      <c r="F2023" t="s">
        <v>20</v>
      </c>
      <c r="G2023" t="s">
        <v>21</v>
      </c>
      <c r="H2023">
        <v>5</v>
      </c>
      <c r="I2023">
        <v>275000</v>
      </c>
    </row>
    <row r="2024" spans="1:9" x14ac:dyDescent="0.3">
      <c r="A2024" s="1">
        <v>46301</v>
      </c>
      <c r="B2024">
        <v>2026</v>
      </c>
      <c r="C2024">
        <v>10</v>
      </c>
      <c r="D2024" t="s">
        <v>50</v>
      </c>
      <c r="E2024" t="s">
        <v>41</v>
      </c>
      <c r="F2024" t="s">
        <v>20</v>
      </c>
      <c r="G2024" t="s">
        <v>21</v>
      </c>
      <c r="H2024">
        <v>3</v>
      </c>
      <c r="I2024">
        <v>165000</v>
      </c>
    </row>
    <row r="2025" spans="1:9" x14ac:dyDescent="0.3">
      <c r="A2025" s="1">
        <v>46180</v>
      </c>
      <c r="B2025">
        <v>2026</v>
      </c>
      <c r="C2025">
        <v>6</v>
      </c>
      <c r="D2025" t="s">
        <v>40</v>
      </c>
      <c r="E2025" t="s">
        <v>41</v>
      </c>
      <c r="F2025" t="s">
        <v>20</v>
      </c>
      <c r="G2025" t="s">
        <v>21</v>
      </c>
      <c r="H2025">
        <v>4</v>
      </c>
      <c r="I2025">
        <v>220000</v>
      </c>
    </row>
    <row r="2026" spans="1:9" x14ac:dyDescent="0.3">
      <c r="A2026" s="1">
        <v>46193</v>
      </c>
      <c r="B2026">
        <v>2026</v>
      </c>
      <c r="C2026">
        <v>6</v>
      </c>
      <c r="D2026" t="s">
        <v>44</v>
      </c>
      <c r="E2026" t="s">
        <v>45</v>
      </c>
      <c r="F2026" t="s">
        <v>20</v>
      </c>
      <c r="G2026" t="s">
        <v>21</v>
      </c>
      <c r="H2026">
        <v>5</v>
      </c>
      <c r="I2026">
        <v>275000</v>
      </c>
    </row>
    <row r="2027" spans="1:9" x14ac:dyDescent="0.3">
      <c r="A2027" s="1">
        <v>46115</v>
      </c>
      <c r="B2027">
        <v>2026</v>
      </c>
      <c r="C2027">
        <v>4</v>
      </c>
      <c r="D2027" t="s">
        <v>48</v>
      </c>
      <c r="E2027" t="s">
        <v>43</v>
      </c>
      <c r="F2027" t="s">
        <v>20</v>
      </c>
      <c r="G2027" t="s">
        <v>21</v>
      </c>
      <c r="H2027">
        <v>5</v>
      </c>
      <c r="I2027">
        <v>275000</v>
      </c>
    </row>
    <row r="2028" spans="1:9" x14ac:dyDescent="0.3">
      <c r="A2028" s="1">
        <v>46254</v>
      </c>
      <c r="B2028">
        <v>2026</v>
      </c>
      <c r="C2028">
        <v>8</v>
      </c>
      <c r="D2028" t="s">
        <v>49</v>
      </c>
      <c r="E2028" t="s">
        <v>47</v>
      </c>
      <c r="F2028" t="s">
        <v>20</v>
      </c>
      <c r="G2028" t="s">
        <v>21</v>
      </c>
      <c r="H2028">
        <v>4</v>
      </c>
      <c r="I2028">
        <v>220000</v>
      </c>
    </row>
    <row r="2029" spans="1:9" x14ac:dyDescent="0.3">
      <c r="A2029" s="1">
        <v>46283</v>
      </c>
      <c r="B2029">
        <v>2026</v>
      </c>
      <c r="C2029">
        <v>9</v>
      </c>
      <c r="D2029" t="s">
        <v>40</v>
      </c>
      <c r="E2029" t="s">
        <v>41</v>
      </c>
      <c r="F2029" t="s">
        <v>20</v>
      </c>
      <c r="G2029" t="s">
        <v>21</v>
      </c>
      <c r="H2029">
        <v>4</v>
      </c>
      <c r="I2029">
        <v>220000</v>
      </c>
    </row>
    <row r="2030" spans="1:9" x14ac:dyDescent="0.3">
      <c r="A2030" s="1">
        <v>46183</v>
      </c>
      <c r="B2030">
        <v>2026</v>
      </c>
      <c r="C2030">
        <v>6</v>
      </c>
      <c r="D2030" t="s">
        <v>50</v>
      </c>
      <c r="E2030" t="s">
        <v>41</v>
      </c>
      <c r="F2030" t="s">
        <v>20</v>
      </c>
      <c r="G2030" t="s">
        <v>21</v>
      </c>
      <c r="H2030">
        <v>3</v>
      </c>
      <c r="I2030">
        <v>165000</v>
      </c>
    </row>
    <row r="2031" spans="1:9" x14ac:dyDescent="0.3">
      <c r="A2031" s="1">
        <v>46064</v>
      </c>
      <c r="B2031">
        <v>2026</v>
      </c>
      <c r="C2031">
        <v>2</v>
      </c>
      <c r="D2031" t="s">
        <v>50</v>
      </c>
      <c r="E2031" t="s">
        <v>41</v>
      </c>
      <c r="F2031" t="s">
        <v>20</v>
      </c>
      <c r="G2031" t="s">
        <v>21</v>
      </c>
      <c r="H2031">
        <v>2</v>
      </c>
      <c r="I2031">
        <v>110000</v>
      </c>
    </row>
    <row r="2032" spans="1:9" x14ac:dyDescent="0.3">
      <c r="A2032" s="1">
        <v>46266</v>
      </c>
      <c r="B2032">
        <v>2026</v>
      </c>
      <c r="C2032">
        <v>9</v>
      </c>
      <c r="D2032" t="s">
        <v>44</v>
      </c>
      <c r="E2032" t="s">
        <v>45</v>
      </c>
      <c r="F2032" t="s">
        <v>20</v>
      </c>
      <c r="G2032" t="s">
        <v>21</v>
      </c>
      <c r="H2032">
        <v>5</v>
      </c>
      <c r="I2032">
        <v>275000</v>
      </c>
    </row>
    <row r="2033" spans="1:9" x14ac:dyDescent="0.3">
      <c r="A2033" s="1">
        <v>46319</v>
      </c>
      <c r="B2033">
        <v>2026</v>
      </c>
      <c r="C2033">
        <v>10</v>
      </c>
      <c r="D2033" t="s">
        <v>46</v>
      </c>
      <c r="E2033" t="s">
        <v>47</v>
      </c>
      <c r="F2033" t="s">
        <v>20</v>
      </c>
      <c r="G2033" t="s">
        <v>21</v>
      </c>
      <c r="H2033">
        <v>4</v>
      </c>
      <c r="I2033">
        <v>220000</v>
      </c>
    </row>
    <row r="2034" spans="1:9" x14ac:dyDescent="0.3">
      <c r="A2034" s="1">
        <v>46293</v>
      </c>
      <c r="B2034">
        <v>2026</v>
      </c>
      <c r="C2034">
        <v>9</v>
      </c>
      <c r="D2034" t="s">
        <v>49</v>
      </c>
      <c r="E2034" t="s">
        <v>47</v>
      </c>
      <c r="F2034" t="s">
        <v>20</v>
      </c>
      <c r="G2034" t="s">
        <v>21</v>
      </c>
      <c r="H2034">
        <v>1</v>
      </c>
      <c r="I2034">
        <v>55000</v>
      </c>
    </row>
    <row r="2035" spans="1:9" x14ac:dyDescent="0.3">
      <c r="A2035" s="1">
        <v>46082</v>
      </c>
      <c r="B2035">
        <v>2026</v>
      </c>
      <c r="C2035">
        <v>3</v>
      </c>
      <c r="D2035" t="s">
        <v>40</v>
      </c>
      <c r="E2035" t="s">
        <v>41</v>
      </c>
      <c r="F2035" t="s">
        <v>20</v>
      </c>
      <c r="G2035" t="s">
        <v>21</v>
      </c>
      <c r="H2035">
        <v>2</v>
      </c>
      <c r="I2035">
        <v>110000</v>
      </c>
    </row>
    <row r="2036" spans="1:9" x14ac:dyDescent="0.3">
      <c r="A2036" s="1">
        <v>46228</v>
      </c>
      <c r="B2036">
        <v>2026</v>
      </c>
      <c r="C2036">
        <v>7</v>
      </c>
      <c r="D2036" t="s">
        <v>50</v>
      </c>
      <c r="E2036" t="s">
        <v>41</v>
      </c>
      <c r="F2036" t="s">
        <v>20</v>
      </c>
      <c r="G2036" t="s">
        <v>21</v>
      </c>
      <c r="H2036">
        <v>3</v>
      </c>
      <c r="I2036">
        <v>165000</v>
      </c>
    </row>
    <row r="2037" spans="1:9" x14ac:dyDescent="0.3">
      <c r="A2037" s="1">
        <v>46325</v>
      </c>
      <c r="B2037">
        <v>2026</v>
      </c>
      <c r="C2037">
        <v>10</v>
      </c>
      <c r="D2037" t="s">
        <v>40</v>
      </c>
      <c r="E2037" t="s">
        <v>41</v>
      </c>
      <c r="F2037" t="s">
        <v>20</v>
      </c>
      <c r="G2037" t="s">
        <v>21</v>
      </c>
      <c r="H2037">
        <v>3</v>
      </c>
      <c r="I2037">
        <v>165000</v>
      </c>
    </row>
    <row r="2038" spans="1:9" x14ac:dyDescent="0.3">
      <c r="A2038" s="1">
        <v>46296</v>
      </c>
      <c r="B2038">
        <v>2026</v>
      </c>
      <c r="C2038">
        <v>10</v>
      </c>
      <c r="D2038" t="s">
        <v>44</v>
      </c>
      <c r="E2038" t="s">
        <v>45</v>
      </c>
      <c r="F2038" t="s">
        <v>20</v>
      </c>
      <c r="G2038" t="s">
        <v>21</v>
      </c>
      <c r="H2038">
        <v>1</v>
      </c>
      <c r="I2038">
        <v>55000</v>
      </c>
    </row>
    <row r="2039" spans="1:9" x14ac:dyDescent="0.3">
      <c r="A2039" s="1">
        <v>46053</v>
      </c>
      <c r="B2039">
        <v>2026</v>
      </c>
      <c r="C2039">
        <v>1</v>
      </c>
      <c r="D2039" t="s">
        <v>46</v>
      </c>
      <c r="E2039" t="s">
        <v>47</v>
      </c>
      <c r="F2039" t="s">
        <v>20</v>
      </c>
      <c r="G2039" t="s">
        <v>21</v>
      </c>
      <c r="H2039">
        <v>3</v>
      </c>
      <c r="I2039">
        <v>165000</v>
      </c>
    </row>
    <row r="2040" spans="1:9" x14ac:dyDescent="0.3">
      <c r="A2040" s="1">
        <v>46256</v>
      </c>
      <c r="B2040">
        <v>2026</v>
      </c>
      <c r="C2040">
        <v>8</v>
      </c>
      <c r="D2040" t="s">
        <v>51</v>
      </c>
      <c r="E2040" t="s">
        <v>45</v>
      </c>
      <c r="F2040" t="s">
        <v>20</v>
      </c>
      <c r="G2040" t="s">
        <v>21</v>
      </c>
      <c r="H2040">
        <v>2</v>
      </c>
      <c r="I2040">
        <v>110000</v>
      </c>
    </row>
    <row r="2041" spans="1:9" x14ac:dyDescent="0.3">
      <c r="A2041" s="1">
        <v>46280</v>
      </c>
      <c r="B2041">
        <v>2026</v>
      </c>
      <c r="C2041">
        <v>9</v>
      </c>
      <c r="D2041" t="s">
        <v>44</v>
      </c>
      <c r="E2041" t="s">
        <v>45</v>
      </c>
      <c r="F2041" t="s">
        <v>20</v>
      </c>
      <c r="G2041" t="s">
        <v>21</v>
      </c>
      <c r="H2041">
        <v>4</v>
      </c>
      <c r="I2041">
        <v>220000</v>
      </c>
    </row>
    <row r="2042" spans="1:9" x14ac:dyDescent="0.3">
      <c r="A2042" s="1">
        <v>46136</v>
      </c>
      <c r="B2042">
        <v>2026</v>
      </c>
      <c r="C2042">
        <v>4</v>
      </c>
      <c r="D2042" t="s">
        <v>46</v>
      </c>
      <c r="E2042" t="s">
        <v>47</v>
      </c>
      <c r="F2042" t="s">
        <v>20</v>
      </c>
      <c r="G2042" t="s">
        <v>21</v>
      </c>
      <c r="H2042">
        <v>3</v>
      </c>
      <c r="I2042">
        <v>165000</v>
      </c>
    </row>
    <row r="2043" spans="1:9" x14ac:dyDescent="0.3">
      <c r="A2043" s="1">
        <v>46144</v>
      </c>
      <c r="B2043">
        <v>2026</v>
      </c>
      <c r="C2043">
        <v>5</v>
      </c>
      <c r="D2043" t="s">
        <v>44</v>
      </c>
      <c r="E2043" t="s">
        <v>45</v>
      </c>
      <c r="F2043" t="s">
        <v>20</v>
      </c>
      <c r="G2043" t="s">
        <v>21</v>
      </c>
      <c r="H2043">
        <v>1</v>
      </c>
      <c r="I2043">
        <v>55000</v>
      </c>
    </row>
    <row r="2044" spans="1:9" x14ac:dyDescent="0.3">
      <c r="A2044" s="1">
        <v>46185</v>
      </c>
      <c r="B2044">
        <v>2026</v>
      </c>
      <c r="C2044">
        <v>6</v>
      </c>
      <c r="D2044" t="s">
        <v>42</v>
      </c>
      <c r="E2044" t="s">
        <v>43</v>
      </c>
      <c r="F2044" t="s">
        <v>20</v>
      </c>
      <c r="G2044" t="s">
        <v>21</v>
      </c>
      <c r="H2044">
        <v>2</v>
      </c>
      <c r="I2044">
        <v>110000</v>
      </c>
    </row>
    <row r="2045" spans="1:9" x14ac:dyDescent="0.3">
      <c r="A2045" s="1">
        <v>46251</v>
      </c>
      <c r="B2045">
        <v>2026</v>
      </c>
      <c r="C2045">
        <v>8</v>
      </c>
      <c r="D2045" t="s">
        <v>46</v>
      </c>
      <c r="E2045" t="s">
        <v>47</v>
      </c>
      <c r="F2045" t="s">
        <v>20</v>
      </c>
      <c r="G2045" t="s">
        <v>21</v>
      </c>
      <c r="H2045">
        <v>1</v>
      </c>
      <c r="I2045">
        <v>55000</v>
      </c>
    </row>
    <row r="2046" spans="1:9" x14ac:dyDescent="0.3">
      <c r="A2046" s="1">
        <v>46215</v>
      </c>
      <c r="B2046">
        <v>2026</v>
      </c>
      <c r="C2046">
        <v>7</v>
      </c>
      <c r="D2046" t="s">
        <v>46</v>
      </c>
      <c r="E2046" t="s">
        <v>47</v>
      </c>
      <c r="F2046" t="s">
        <v>20</v>
      </c>
      <c r="G2046" t="s">
        <v>21</v>
      </c>
      <c r="H2046">
        <v>5</v>
      </c>
      <c r="I2046">
        <v>275000</v>
      </c>
    </row>
    <row r="2047" spans="1:9" x14ac:dyDescent="0.3">
      <c r="A2047" s="1">
        <v>46172</v>
      </c>
      <c r="B2047">
        <v>2026</v>
      </c>
      <c r="C2047">
        <v>5</v>
      </c>
      <c r="D2047" t="s">
        <v>48</v>
      </c>
      <c r="E2047" t="s">
        <v>43</v>
      </c>
      <c r="F2047" t="s">
        <v>20</v>
      </c>
      <c r="G2047" t="s">
        <v>21</v>
      </c>
      <c r="H2047">
        <v>5</v>
      </c>
      <c r="I2047">
        <v>275000</v>
      </c>
    </row>
    <row r="2048" spans="1:9" x14ac:dyDescent="0.3">
      <c r="A2048" s="1">
        <v>46251</v>
      </c>
      <c r="B2048">
        <v>2026</v>
      </c>
      <c r="C2048">
        <v>8</v>
      </c>
      <c r="D2048" t="s">
        <v>50</v>
      </c>
      <c r="E2048" t="s">
        <v>41</v>
      </c>
      <c r="F2048" t="s">
        <v>20</v>
      </c>
      <c r="G2048" t="s">
        <v>21</v>
      </c>
      <c r="H2048">
        <v>3</v>
      </c>
      <c r="I2048">
        <v>165000</v>
      </c>
    </row>
    <row r="2049" spans="1:9" x14ac:dyDescent="0.3">
      <c r="A2049" s="1">
        <v>46277</v>
      </c>
      <c r="B2049">
        <v>2026</v>
      </c>
      <c r="C2049">
        <v>9</v>
      </c>
      <c r="D2049" t="s">
        <v>48</v>
      </c>
      <c r="E2049" t="s">
        <v>43</v>
      </c>
      <c r="F2049" t="s">
        <v>20</v>
      </c>
      <c r="G2049" t="s">
        <v>21</v>
      </c>
      <c r="H2049">
        <v>4</v>
      </c>
      <c r="I2049">
        <v>220000</v>
      </c>
    </row>
    <row r="2050" spans="1:9" x14ac:dyDescent="0.3">
      <c r="A2050" s="1">
        <v>46241</v>
      </c>
      <c r="B2050">
        <v>2026</v>
      </c>
      <c r="C2050">
        <v>8</v>
      </c>
      <c r="D2050" t="s">
        <v>46</v>
      </c>
      <c r="E2050" t="s">
        <v>47</v>
      </c>
      <c r="F2050" t="s">
        <v>20</v>
      </c>
      <c r="G2050" t="s">
        <v>21</v>
      </c>
      <c r="H2050">
        <v>2</v>
      </c>
      <c r="I2050">
        <v>110000</v>
      </c>
    </row>
    <row r="2051" spans="1:9" x14ac:dyDescent="0.3">
      <c r="A2051" s="1">
        <v>46064</v>
      </c>
      <c r="B2051">
        <v>2026</v>
      </c>
      <c r="C2051">
        <v>2</v>
      </c>
      <c r="D2051" t="s">
        <v>42</v>
      </c>
      <c r="E2051" t="s">
        <v>43</v>
      </c>
      <c r="F2051" t="s">
        <v>20</v>
      </c>
      <c r="G2051" t="s">
        <v>21</v>
      </c>
      <c r="H2051">
        <v>3</v>
      </c>
      <c r="I2051">
        <v>165000</v>
      </c>
    </row>
    <row r="2052" spans="1:9" x14ac:dyDescent="0.3">
      <c r="A2052" s="1">
        <v>46248</v>
      </c>
      <c r="B2052">
        <v>2026</v>
      </c>
      <c r="C2052">
        <v>8</v>
      </c>
      <c r="D2052" t="s">
        <v>51</v>
      </c>
      <c r="E2052" t="s">
        <v>45</v>
      </c>
      <c r="F2052" t="s">
        <v>20</v>
      </c>
      <c r="G2052" t="s">
        <v>21</v>
      </c>
      <c r="H2052">
        <v>1</v>
      </c>
      <c r="I2052">
        <v>55000</v>
      </c>
    </row>
    <row r="2053" spans="1:9" x14ac:dyDescent="0.3">
      <c r="A2053" s="1">
        <v>46087</v>
      </c>
      <c r="B2053">
        <v>2026</v>
      </c>
      <c r="C2053">
        <v>3</v>
      </c>
      <c r="D2053" t="s">
        <v>51</v>
      </c>
      <c r="E2053" t="s">
        <v>45</v>
      </c>
      <c r="F2053" t="s">
        <v>20</v>
      </c>
      <c r="G2053" t="s">
        <v>21</v>
      </c>
      <c r="H2053">
        <v>4</v>
      </c>
      <c r="I2053">
        <v>220000</v>
      </c>
    </row>
    <row r="2054" spans="1:9" x14ac:dyDescent="0.3">
      <c r="A2054" s="1">
        <v>46141</v>
      </c>
      <c r="B2054">
        <v>2026</v>
      </c>
      <c r="C2054">
        <v>4</v>
      </c>
      <c r="D2054" t="s">
        <v>48</v>
      </c>
      <c r="E2054" t="s">
        <v>43</v>
      </c>
      <c r="F2054" t="s">
        <v>20</v>
      </c>
      <c r="G2054" t="s">
        <v>21</v>
      </c>
      <c r="H2054">
        <v>4</v>
      </c>
      <c r="I2054">
        <v>220000</v>
      </c>
    </row>
    <row r="2055" spans="1:9" x14ac:dyDescent="0.3">
      <c r="A2055" s="1">
        <v>46034</v>
      </c>
      <c r="B2055">
        <v>2026</v>
      </c>
      <c r="C2055">
        <v>1</v>
      </c>
      <c r="D2055" t="s">
        <v>48</v>
      </c>
      <c r="E2055" t="s">
        <v>43</v>
      </c>
      <c r="F2055" t="s">
        <v>20</v>
      </c>
      <c r="G2055" t="s">
        <v>21</v>
      </c>
      <c r="H2055">
        <v>4</v>
      </c>
      <c r="I2055">
        <v>220000</v>
      </c>
    </row>
    <row r="2056" spans="1:9" x14ac:dyDescent="0.3">
      <c r="A2056" s="1">
        <v>46129</v>
      </c>
      <c r="B2056">
        <v>2026</v>
      </c>
      <c r="C2056">
        <v>4</v>
      </c>
      <c r="D2056" t="s">
        <v>48</v>
      </c>
      <c r="E2056" t="s">
        <v>43</v>
      </c>
      <c r="F2056" t="s">
        <v>20</v>
      </c>
      <c r="G2056" t="s">
        <v>21</v>
      </c>
      <c r="H2056">
        <v>4</v>
      </c>
      <c r="I2056">
        <v>220000</v>
      </c>
    </row>
    <row r="2057" spans="1:9" x14ac:dyDescent="0.3">
      <c r="A2057" s="1">
        <v>46183</v>
      </c>
      <c r="B2057">
        <v>2026</v>
      </c>
      <c r="C2057">
        <v>6</v>
      </c>
      <c r="D2057" t="s">
        <v>42</v>
      </c>
      <c r="E2057" t="s">
        <v>43</v>
      </c>
      <c r="F2057" t="s">
        <v>20</v>
      </c>
      <c r="G2057" t="s">
        <v>21</v>
      </c>
      <c r="H2057">
        <v>2</v>
      </c>
      <c r="I2057">
        <v>110000</v>
      </c>
    </row>
    <row r="2058" spans="1:9" x14ac:dyDescent="0.3">
      <c r="A2058" s="1">
        <v>46269</v>
      </c>
      <c r="B2058">
        <v>2026</v>
      </c>
      <c r="C2058">
        <v>9</v>
      </c>
      <c r="D2058" t="s">
        <v>51</v>
      </c>
      <c r="E2058" t="s">
        <v>45</v>
      </c>
      <c r="F2058" t="s">
        <v>20</v>
      </c>
      <c r="G2058" t="s">
        <v>21</v>
      </c>
      <c r="H2058">
        <v>3</v>
      </c>
      <c r="I2058">
        <v>165000</v>
      </c>
    </row>
    <row r="2059" spans="1:9" x14ac:dyDescent="0.3">
      <c r="A2059" s="1">
        <v>46033</v>
      </c>
      <c r="B2059">
        <v>2026</v>
      </c>
      <c r="C2059">
        <v>1</v>
      </c>
      <c r="D2059" t="s">
        <v>42</v>
      </c>
      <c r="E2059" t="s">
        <v>43</v>
      </c>
      <c r="F2059" t="s">
        <v>20</v>
      </c>
      <c r="G2059" t="s">
        <v>21</v>
      </c>
      <c r="H2059">
        <v>4</v>
      </c>
      <c r="I2059">
        <v>220000</v>
      </c>
    </row>
    <row r="2060" spans="1:9" x14ac:dyDescent="0.3">
      <c r="A2060" s="1">
        <v>46066</v>
      </c>
      <c r="B2060">
        <v>2026</v>
      </c>
      <c r="C2060">
        <v>2</v>
      </c>
      <c r="D2060" t="s">
        <v>42</v>
      </c>
      <c r="E2060" t="s">
        <v>43</v>
      </c>
      <c r="F2060" t="s">
        <v>20</v>
      </c>
      <c r="G2060" t="s">
        <v>21</v>
      </c>
      <c r="H2060">
        <v>4</v>
      </c>
      <c r="I2060">
        <v>220000</v>
      </c>
    </row>
    <row r="2061" spans="1:9" x14ac:dyDescent="0.3">
      <c r="A2061" s="1">
        <v>46287</v>
      </c>
      <c r="B2061">
        <v>2026</v>
      </c>
      <c r="C2061">
        <v>9</v>
      </c>
      <c r="D2061" t="s">
        <v>42</v>
      </c>
      <c r="E2061" t="s">
        <v>43</v>
      </c>
      <c r="F2061" t="s">
        <v>20</v>
      </c>
      <c r="G2061" t="s">
        <v>21</v>
      </c>
      <c r="H2061">
        <v>5</v>
      </c>
      <c r="I2061">
        <v>275000</v>
      </c>
    </row>
    <row r="2062" spans="1:9" x14ac:dyDescent="0.3">
      <c r="A2062" s="1">
        <v>46266</v>
      </c>
      <c r="B2062">
        <v>2026</v>
      </c>
      <c r="C2062">
        <v>9</v>
      </c>
      <c r="D2062" t="s">
        <v>40</v>
      </c>
      <c r="E2062" t="s">
        <v>41</v>
      </c>
      <c r="F2062" t="s">
        <v>20</v>
      </c>
      <c r="G2062" t="s">
        <v>21</v>
      </c>
      <c r="H2062">
        <v>5</v>
      </c>
      <c r="I2062">
        <v>275000</v>
      </c>
    </row>
    <row r="2063" spans="1:9" x14ac:dyDescent="0.3">
      <c r="A2063" s="1">
        <v>46111</v>
      </c>
      <c r="B2063">
        <v>2026</v>
      </c>
      <c r="C2063">
        <v>3</v>
      </c>
      <c r="D2063" t="s">
        <v>44</v>
      </c>
      <c r="E2063" t="s">
        <v>45</v>
      </c>
      <c r="F2063" t="s">
        <v>20</v>
      </c>
      <c r="G2063" t="s">
        <v>21</v>
      </c>
      <c r="H2063">
        <v>2</v>
      </c>
      <c r="I2063">
        <v>110000</v>
      </c>
    </row>
    <row r="2064" spans="1:9" x14ac:dyDescent="0.3">
      <c r="A2064" s="1">
        <v>46292</v>
      </c>
      <c r="B2064">
        <v>2026</v>
      </c>
      <c r="C2064">
        <v>9</v>
      </c>
      <c r="D2064" t="s">
        <v>49</v>
      </c>
      <c r="E2064" t="s">
        <v>47</v>
      </c>
      <c r="F2064" t="s">
        <v>20</v>
      </c>
      <c r="G2064" t="s">
        <v>21</v>
      </c>
      <c r="H2064">
        <v>4</v>
      </c>
      <c r="I2064">
        <v>220000</v>
      </c>
    </row>
    <row r="2065" spans="1:9" x14ac:dyDescent="0.3">
      <c r="A2065" s="1">
        <v>46048</v>
      </c>
      <c r="B2065">
        <v>2026</v>
      </c>
      <c r="C2065">
        <v>1</v>
      </c>
      <c r="D2065" t="s">
        <v>40</v>
      </c>
      <c r="E2065" t="s">
        <v>41</v>
      </c>
      <c r="F2065" t="s">
        <v>20</v>
      </c>
      <c r="G2065" t="s">
        <v>21</v>
      </c>
      <c r="H2065">
        <v>1</v>
      </c>
      <c r="I2065">
        <v>55000</v>
      </c>
    </row>
    <row r="2066" spans="1:9" x14ac:dyDescent="0.3">
      <c r="A2066" s="1">
        <v>46156</v>
      </c>
      <c r="B2066">
        <v>2026</v>
      </c>
      <c r="C2066">
        <v>5</v>
      </c>
      <c r="D2066" t="s">
        <v>40</v>
      </c>
      <c r="E2066" t="s">
        <v>41</v>
      </c>
      <c r="F2066" t="s">
        <v>20</v>
      </c>
      <c r="G2066" t="s">
        <v>21</v>
      </c>
      <c r="H2066">
        <v>5</v>
      </c>
      <c r="I2066">
        <v>275000</v>
      </c>
    </row>
    <row r="2067" spans="1:9" x14ac:dyDescent="0.3">
      <c r="A2067" s="1">
        <v>46024</v>
      </c>
      <c r="B2067">
        <v>2026</v>
      </c>
      <c r="C2067">
        <v>1</v>
      </c>
      <c r="D2067" t="s">
        <v>51</v>
      </c>
      <c r="E2067" t="s">
        <v>45</v>
      </c>
      <c r="F2067" t="s">
        <v>20</v>
      </c>
      <c r="G2067" t="s">
        <v>21</v>
      </c>
      <c r="H2067">
        <v>4</v>
      </c>
      <c r="I2067">
        <v>220000</v>
      </c>
    </row>
    <row r="2068" spans="1:9" x14ac:dyDescent="0.3">
      <c r="A2068" s="1">
        <v>46133</v>
      </c>
      <c r="B2068">
        <v>2026</v>
      </c>
      <c r="C2068">
        <v>4</v>
      </c>
      <c r="D2068" t="s">
        <v>46</v>
      </c>
      <c r="E2068" t="s">
        <v>47</v>
      </c>
      <c r="F2068" t="s">
        <v>20</v>
      </c>
      <c r="G2068" t="s">
        <v>21</v>
      </c>
      <c r="H2068">
        <v>2</v>
      </c>
      <c r="I2068">
        <v>110000</v>
      </c>
    </row>
    <row r="2069" spans="1:9" x14ac:dyDescent="0.3">
      <c r="A2069" s="1">
        <v>46305</v>
      </c>
      <c r="B2069">
        <v>2026</v>
      </c>
      <c r="C2069">
        <v>10</v>
      </c>
      <c r="D2069" t="s">
        <v>51</v>
      </c>
      <c r="E2069" t="s">
        <v>45</v>
      </c>
      <c r="F2069" t="s">
        <v>20</v>
      </c>
      <c r="G2069" t="s">
        <v>21</v>
      </c>
      <c r="H2069">
        <v>3</v>
      </c>
      <c r="I2069">
        <v>165000</v>
      </c>
    </row>
    <row r="2070" spans="1:9" x14ac:dyDescent="0.3">
      <c r="A2070" s="1">
        <v>46052</v>
      </c>
      <c r="B2070">
        <v>2026</v>
      </c>
      <c r="C2070">
        <v>1</v>
      </c>
      <c r="D2070" t="s">
        <v>48</v>
      </c>
      <c r="E2070" t="s">
        <v>43</v>
      </c>
      <c r="F2070" t="s">
        <v>20</v>
      </c>
      <c r="G2070" t="s">
        <v>21</v>
      </c>
      <c r="H2070">
        <v>2</v>
      </c>
      <c r="I2070">
        <v>110000</v>
      </c>
    </row>
    <row r="2071" spans="1:9" x14ac:dyDescent="0.3">
      <c r="A2071" s="1">
        <v>46040</v>
      </c>
      <c r="B2071">
        <v>2026</v>
      </c>
      <c r="C2071">
        <v>1</v>
      </c>
      <c r="D2071" t="s">
        <v>51</v>
      </c>
      <c r="E2071" t="s">
        <v>45</v>
      </c>
      <c r="F2071" t="s">
        <v>20</v>
      </c>
      <c r="G2071" t="s">
        <v>21</v>
      </c>
      <c r="H2071">
        <v>2</v>
      </c>
      <c r="I2071">
        <v>110000</v>
      </c>
    </row>
    <row r="2072" spans="1:9" x14ac:dyDescent="0.3">
      <c r="A2072" s="1">
        <v>46040</v>
      </c>
      <c r="B2072">
        <v>2026</v>
      </c>
      <c r="C2072">
        <v>1</v>
      </c>
      <c r="D2072" t="s">
        <v>44</v>
      </c>
      <c r="E2072" t="s">
        <v>45</v>
      </c>
      <c r="F2072" t="s">
        <v>20</v>
      </c>
      <c r="G2072" t="s">
        <v>21</v>
      </c>
      <c r="H2072">
        <v>3</v>
      </c>
      <c r="I2072">
        <v>165000</v>
      </c>
    </row>
    <row r="2073" spans="1:9" x14ac:dyDescent="0.3">
      <c r="A2073" s="1">
        <v>46124</v>
      </c>
      <c r="B2073">
        <v>2026</v>
      </c>
      <c r="C2073">
        <v>4</v>
      </c>
      <c r="D2073" t="s">
        <v>46</v>
      </c>
      <c r="E2073" t="s">
        <v>47</v>
      </c>
      <c r="F2073" t="s">
        <v>20</v>
      </c>
      <c r="G2073" t="s">
        <v>21</v>
      </c>
      <c r="H2073">
        <v>2</v>
      </c>
      <c r="I2073">
        <v>110000</v>
      </c>
    </row>
    <row r="2074" spans="1:9" x14ac:dyDescent="0.3">
      <c r="A2074" s="1">
        <v>46102</v>
      </c>
      <c r="B2074">
        <v>2026</v>
      </c>
      <c r="C2074">
        <v>3</v>
      </c>
      <c r="D2074" t="s">
        <v>50</v>
      </c>
      <c r="E2074" t="s">
        <v>41</v>
      </c>
      <c r="F2074" t="s">
        <v>20</v>
      </c>
      <c r="G2074" t="s">
        <v>21</v>
      </c>
      <c r="H2074">
        <v>4</v>
      </c>
      <c r="I2074">
        <v>220000</v>
      </c>
    </row>
    <row r="2075" spans="1:9" x14ac:dyDescent="0.3">
      <c r="A2075" s="1">
        <v>46255</v>
      </c>
      <c r="B2075">
        <v>2026</v>
      </c>
      <c r="C2075">
        <v>8</v>
      </c>
      <c r="D2075" t="s">
        <v>46</v>
      </c>
      <c r="E2075" t="s">
        <v>47</v>
      </c>
      <c r="F2075" t="s">
        <v>20</v>
      </c>
      <c r="G2075" t="s">
        <v>21</v>
      </c>
      <c r="H2075">
        <v>4</v>
      </c>
      <c r="I2075">
        <v>220000</v>
      </c>
    </row>
    <row r="2076" spans="1:9" x14ac:dyDescent="0.3">
      <c r="A2076" s="1">
        <v>46243</v>
      </c>
      <c r="B2076">
        <v>2026</v>
      </c>
      <c r="C2076">
        <v>8</v>
      </c>
      <c r="D2076" t="s">
        <v>46</v>
      </c>
      <c r="E2076" t="s">
        <v>47</v>
      </c>
      <c r="F2076" t="s">
        <v>20</v>
      </c>
      <c r="G2076" t="s">
        <v>21</v>
      </c>
      <c r="H2076">
        <v>5</v>
      </c>
      <c r="I2076">
        <v>275000</v>
      </c>
    </row>
    <row r="2077" spans="1:9" x14ac:dyDescent="0.3">
      <c r="A2077" s="1">
        <v>46192</v>
      </c>
      <c r="B2077">
        <v>2026</v>
      </c>
      <c r="C2077">
        <v>6</v>
      </c>
      <c r="D2077" t="s">
        <v>44</v>
      </c>
      <c r="E2077" t="s">
        <v>45</v>
      </c>
      <c r="F2077" t="s">
        <v>20</v>
      </c>
      <c r="G2077" t="s">
        <v>21</v>
      </c>
      <c r="H2077">
        <v>2</v>
      </c>
      <c r="I2077">
        <v>110000</v>
      </c>
    </row>
    <row r="2078" spans="1:9" x14ac:dyDescent="0.3">
      <c r="A2078" s="1">
        <v>46213</v>
      </c>
      <c r="B2078">
        <v>2026</v>
      </c>
      <c r="C2078">
        <v>7</v>
      </c>
      <c r="D2078" t="s">
        <v>51</v>
      </c>
      <c r="E2078" t="s">
        <v>45</v>
      </c>
      <c r="F2078" t="s">
        <v>20</v>
      </c>
      <c r="G2078" t="s">
        <v>21</v>
      </c>
      <c r="H2078">
        <v>1</v>
      </c>
      <c r="I2078">
        <v>55000</v>
      </c>
    </row>
    <row r="2079" spans="1:9" x14ac:dyDescent="0.3">
      <c r="A2079" s="1">
        <v>46093</v>
      </c>
      <c r="B2079">
        <v>2026</v>
      </c>
      <c r="C2079">
        <v>3</v>
      </c>
      <c r="D2079" t="s">
        <v>50</v>
      </c>
      <c r="E2079" t="s">
        <v>41</v>
      </c>
      <c r="F2079" t="s">
        <v>20</v>
      </c>
      <c r="G2079" t="s">
        <v>21</v>
      </c>
      <c r="H2079">
        <v>1</v>
      </c>
      <c r="I2079">
        <v>55000</v>
      </c>
    </row>
    <row r="2080" spans="1:9" x14ac:dyDescent="0.3">
      <c r="A2080" s="1">
        <v>46275</v>
      </c>
      <c r="B2080">
        <v>2026</v>
      </c>
      <c r="C2080">
        <v>9</v>
      </c>
      <c r="D2080" t="s">
        <v>46</v>
      </c>
      <c r="E2080" t="s">
        <v>47</v>
      </c>
      <c r="F2080" t="s">
        <v>20</v>
      </c>
      <c r="G2080" t="s">
        <v>21</v>
      </c>
      <c r="H2080">
        <v>3</v>
      </c>
      <c r="I2080">
        <v>165000</v>
      </c>
    </row>
    <row r="2081" spans="1:9" x14ac:dyDescent="0.3">
      <c r="A2081" s="1">
        <v>46054</v>
      </c>
      <c r="B2081">
        <v>2026</v>
      </c>
      <c r="C2081">
        <v>2</v>
      </c>
      <c r="D2081" t="s">
        <v>51</v>
      </c>
      <c r="E2081" t="s">
        <v>45</v>
      </c>
      <c r="F2081" t="s">
        <v>20</v>
      </c>
      <c r="G2081" t="s">
        <v>21</v>
      </c>
      <c r="H2081">
        <v>5</v>
      </c>
      <c r="I2081">
        <v>275000</v>
      </c>
    </row>
    <row r="2082" spans="1:9" x14ac:dyDescent="0.3">
      <c r="A2082" s="1">
        <v>46092</v>
      </c>
      <c r="B2082">
        <v>2026</v>
      </c>
      <c r="C2082">
        <v>3</v>
      </c>
      <c r="D2082" t="s">
        <v>46</v>
      </c>
      <c r="E2082" t="s">
        <v>47</v>
      </c>
      <c r="F2082" t="s">
        <v>20</v>
      </c>
      <c r="G2082" t="s">
        <v>21</v>
      </c>
      <c r="H2082">
        <v>2</v>
      </c>
      <c r="I2082">
        <v>110000</v>
      </c>
    </row>
    <row r="2083" spans="1:9" x14ac:dyDescent="0.3">
      <c r="A2083" s="1">
        <v>46294</v>
      </c>
      <c r="B2083">
        <v>2026</v>
      </c>
      <c r="C2083">
        <v>9</v>
      </c>
      <c r="D2083" t="s">
        <v>50</v>
      </c>
      <c r="E2083" t="s">
        <v>41</v>
      </c>
      <c r="F2083" t="s">
        <v>20</v>
      </c>
      <c r="G2083" t="s">
        <v>21</v>
      </c>
      <c r="H2083">
        <v>3</v>
      </c>
      <c r="I2083">
        <v>165000</v>
      </c>
    </row>
    <row r="2084" spans="1:9" x14ac:dyDescent="0.3">
      <c r="A2084" s="1">
        <v>46058</v>
      </c>
      <c r="B2084">
        <v>2026</v>
      </c>
      <c r="C2084">
        <v>2</v>
      </c>
      <c r="D2084" t="s">
        <v>46</v>
      </c>
      <c r="E2084" t="s">
        <v>47</v>
      </c>
      <c r="F2084" t="s">
        <v>20</v>
      </c>
      <c r="G2084" t="s">
        <v>21</v>
      </c>
      <c r="H2084">
        <v>1</v>
      </c>
      <c r="I2084">
        <v>55000</v>
      </c>
    </row>
    <row r="2085" spans="1:9" x14ac:dyDescent="0.3">
      <c r="A2085" s="1">
        <v>46054</v>
      </c>
      <c r="B2085">
        <v>2026</v>
      </c>
      <c r="C2085">
        <v>2</v>
      </c>
      <c r="D2085" t="s">
        <v>40</v>
      </c>
      <c r="E2085" t="s">
        <v>41</v>
      </c>
      <c r="F2085" t="s">
        <v>20</v>
      </c>
      <c r="G2085" t="s">
        <v>21</v>
      </c>
      <c r="H2085">
        <v>4</v>
      </c>
      <c r="I2085">
        <v>220000</v>
      </c>
    </row>
    <row r="2086" spans="1:9" x14ac:dyDescent="0.3">
      <c r="A2086" s="1">
        <v>46293</v>
      </c>
      <c r="B2086">
        <v>2026</v>
      </c>
      <c r="C2086">
        <v>9</v>
      </c>
      <c r="D2086" t="s">
        <v>44</v>
      </c>
      <c r="E2086" t="s">
        <v>45</v>
      </c>
      <c r="F2086" t="s">
        <v>20</v>
      </c>
      <c r="G2086" t="s">
        <v>21</v>
      </c>
      <c r="H2086">
        <v>5</v>
      </c>
      <c r="I2086">
        <v>275000</v>
      </c>
    </row>
    <row r="2087" spans="1:9" x14ac:dyDescent="0.3">
      <c r="A2087" s="1">
        <v>46155</v>
      </c>
      <c r="B2087">
        <v>2026</v>
      </c>
      <c r="C2087">
        <v>5</v>
      </c>
      <c r="D2087" t="s">
        <v>50</v>
      </c>
      <c r="E2087" t="s">
        <v>41</v>
      </c>
      <c r="F2087" t="s">
        <v>20</v>
      </c>
      <c r="G2087" t="s">
        <v>21</v>
      </c>
      <c r="H2087">
        <v>5</v>
      </c>
      <c r="I2087">
        <v>275000</v>
      </c>
    </row>
    <row r="2088" spans="1:9" x14ac:dyDescent="0.3">
      <c r="A2088" s="1">
        <v>46258</v>
      </c>
      <c r="B2088">
        <v>2026</v>
      </c>
      <c r="C2088">
        <v>8</v>
      </c>
      <c r="D2088" t="s">
        <v>48</v>
      </c>
      <c r="E2088" t="s">
        <v>43</v>
      </c>
      <c r="F2088" t="s">
        <v>20</v>
      </c>
      <c r="G2088" t="s">
        <v>21</v>
      </c>
      <c r="H2088">
        <v>2</v>
      </c>
      <c r="I2088">
        <v>110000</v>
      </c>
    </row>
    <row r="2089" spans="1:9" x14ac:dyDescent="0.3">
      <c r="A2089" s="1">
        <v>46036</v>
      </c>
      <c r="B2089">
        <v>2026</v>
      </c>
      <c r="C2089">
        <v>1</v>
      </c>
      <c r="D2089" t="s">
        <v>51</v>
      </c>
      <c r="E2089" t="s">
        <v>45</v>
      </c>
      <c r="F2089" t="s">
        <v>20</v>
      </c>
      <c r="G2089" t="s">
        <v>21</v>
      </c>
      <c r="H2089">
        <v>5</v>
      </c>
      <c r="I2089">
        <v>275000</v>
      </c>
    </row>
    <row r="2090" spans="1:9" x14ac:dyDescent="0.3">
      <c r="A2090" s="1">
        <v>46082</v>
      </c>
      <c r="B2090">
        <v>2026</v>
      </c>
      <c r="C2090">
        <v>3</v>
      </c>
      <c r="D2090" t="s">
        <v>48</v>
      </c>
      <c r="E2090" t="s">
        <v>43</v>
      </c>
      <c r="F2090" t="s">
        <v>20</v>
      </c>
      <c r="G2090" t="s">
        <v>21</v>
      </c>
      <c r="H2090">
        <v>3</v>
      </c>
      <c r="I2090">
        <v>165000</v>
      </c>
    </row>
    <row r="2091" spans="1:9" x14ac:dyDescent="0.3">
      <c r="A2091" s="1">
        <v>46223</v>
      </c>
      <c r="B2091">
        <v>2026</v>
      </c>
      <c r="C2091">
        <v>7</v>
      </c>
      <c r="D2091" t="s">
        <v>50</v>
      </c>
      <c r="E2091" t="s">
        <v>41</v>
      </c>
      <c r="F2091" t="s">
        <v>20</v>
      </c>
      <c r="G2091" t="s">
        <v>21</v>
      </c>
      <c r="H2091">
        <v>3</v>
      </c>
      <c r="I2091">
        <v>165000</v>
      </c>
    </row>
    <row r="2092" spans="1:9" x14ac:dyDescent="0.3">
      <c r="A2092" s="1">
        <v>46249</v>
      </c>
      <c r="B2092">
        <v>2026</v>
      </c>
      <c r="C2092">
        <v>8</v>
      </c>
      <c r="D2092" t="s">
        <v>42</v>
      </c>
      <c r="E2092" t="s">
        <v>43</v>
      </c>
      <c r="F2092" t="s">
        <v>20</v>
      </c>
      <c r="G2092" t="s">
        <v>21</v>
      </c>
      <c r="H2092">
        <v>3</v>
      </c>
      <c r="I2092">
        <v>165000</v>
      </c>
    </row>
    <row r="2093" spans="1:9" x14ac:dyDescent="0.3">
      <c r="A2093" s="1">
        <v>46100</v>
      </c>
      <c r="B2093">
        <v>2026</v>
      </c>
      <c r="C2093">
        <v>3</v>
      </c>
      <c r="D2093" t="s">
        <v>49</v>
      </c>
      <c r="E2093" t="s">
        <v>47</v>
      </c>
      <c r="F2093" t="s">
        <v>20</v>
      </c>
      <c r="G2093" t="s">
        <v>21</v>
      </c>
      <c r="H2093">
        <v>1</v>
      </c>
      <c r="I2093">
        <v>55000</v>
      </c>
    </row>
    <row r="2094" spans="1:9" x14ac:dyDescent="0.3">
      <c r="A2094" s="1">
        <v>46199</v>
      </c>
      <c r="B2094">
        <v>2026</v>
      </c>
      <c r="C2094">
        <v>6</v>
      </c>
      <c r="D2094" t="s">
        <v>40</v>
      </c>
      <c r="E2094" t="s">
        <v>41</v>
      </c>
      <c r="F2094" t="s">
        <v>20</v>
      </c>
      <c r="G2094" t="s">
        <v>21</v>
      </c>
      <c r="H2094">
        <v>4</v>
      </c>
      <c r="I2094">
        <v>220000</v>
      </c>
    </row>
    <row r="2095" spans="1:9" x14ac:dyDescent="0.3">
      <c r="A2095" s="1">
        <v>46297</v>
      </c>
      <c r="B2095">
        <v>2026</v>
      </c>
      <c r="C2095">
        <v>10</v>
      </c>
      <c r="D2095" t="s">
        <v>42</v>
      </c>
      <c r="E2095" t="s">
        <v>43</v>
      </c>
      <c r="F2095" t="s">
        <v>20</v>
      </c>
      <c r="G2095" t="s">
        <v>21</v>
      </c>
      <c r="H2095">
        <v>1</v>
      </c>
      <c r="I2095">
        <v>55000</v>
      </c>
    </row>
    <row r="2096" spans="1:9" x14ac:dyDescent="0.3">
      <c r="A2096" s="1">
        <v>46305</v>
      </c>
      <c r="B2096">
        <v>2026</v>
      </c>
      <c r="C2096">
        <v>10</v>
      </c>
      <c r="D2096" t="s">
        <v>40</v>
      </c>
      <c r="E2096" t="s">
        <v>41</v>
      </c>
      <c r="F2096" t="s">
        <v>20</v>
      </c>
      <c r="G2096" t="s">
        <v>21</v>
      </c>
      <c r="H2096">
        <v>1</v>
      </c>
      <c r="I2096">
        <v>55000</v>
      </c>
    </row>
    <row r="2097" spans="1:9" x14ac:dyDescent="0.3">
      <c r="A2097" s="1">
        <v>46029</v>
      </c>
      <c r="B2097">
        <v>2026</v>
      </c>
      <c r="C2097">
        <v>1</v>
      </c>
      <c r="D2097" t="s">
        <v>44</v>
      </c>
      <c r="E2097" t="s">
        <v>45</v>
      </c>
      <c r="F2097" t="s">
        <v>20</v>
      </c>
      <c r="G2097" t="s">
        <v>21</v>
      </c>
      <c r="H2097">
        <v>1</v>
      </c>
      <c r="I2097">
        <v>55000</v>
      </c>
    </row>
    <row r="2098" spans="1:9" x14ac:dyDescent="0.3">
      <c r="A2098" s="1">
        <v>46078</v>
      </c>
      <c r="B2098">
        <v>2026</v>
      </c>
      <c r="C2098">
        <v>2</v>
      </c>
      <c r="D2098" t="s">
        <v>50</v>
      </c>
      <c r="E2098" t="s">
        <v>41</v>
      </c>
      <c r="F2098" t="s">
        <v>20</v>
      </c>
      <c r="G2098" t="s">
        <v>21</v>
      </c>
      <c r="H2098">
        <v>1</v>
      </c>
      <c r="I2098">
        <v>55000</v>
      </c>
    </row>
    <row r="2099" spans="1:9" x14ac:dyDescent="0.3">
      <c r="A2099" s="1">
        <v>46224</v>
      </c>
      <c r="B2099">
        <v>2026</v>
      </c>
      <c r="C2099">
        <v>7</v>
      </c>
      <c r="D2099" t="s">
        <v>46</v>
      </c>
      <c r="E2099" t="s">
        <v>47</v>
      </c>
      <c r="F2099" t="s">
        <v>20</v>
      </c>
      <c r="G2099" t="s">
        <v>21</v>
      </c>
      <c r="H2099">
        <v>1</v>
      </c>
      <c r="I2099">
        <v>55000</v>
      </c>
    </row>
    <row r="2100" spans="1:9" x14ac:dyDescent="0.3">
      <c r="A2100" s="1">
        <v>46289</v>
      </c>
      <c r="B2100">
        <v>2026</v>
      </c>
      <c r="C2100">
        <v>9</v>
      </c>
      <c r="D2100" t="s">
        <v>40</v>
      </c>
      <c r="E2100" t="s">
        <v>41</v>
      </c>
      <c r="F2100" t="s">
        <v>20</v>
      </c>
      <c r="G2100" t="s">
        <v>21</v>
      </c>
      <c r="H2100">
        <v>3</v>
      </c>
      <c r="I2100">
        <v>165000</v>
      </c>
    </row>
    <row r="2101" spans="1:9" x14ac:dyDescent="0.3">
      <c r="A2101" s="1">
        <v>46165</v>
      </c>
      <c r="B2101">
        <v>2026</v>
      </c>
      <c r="C2101">
        <v>5</v>
      </c>
      <c r="D2101" t="s">
        <v>40</v>
      </c>
      <c r="E2101" t="s">
        <v>41</v>
      </c>
      <c r="F2101" t="s">
        <v>20</v>
      </c>
      <c r="G2101" t="s">
        <v>21</v>
      </c>
      <c r="H2101">
        <v>4</v>
      </c>
      <c r="I2101">
        <v>220000</v>
      </c>
    </row>
    <row r="2102" spans="1:9" x14ac:dyDescent="0.3">
      <c r="A2102" s="1">
        <v>46038</v>
      </c>
      <c r="B2102">
        <v>2026</v>
      </c>
      <c r="C2102">
        <v>1</v>
      </c>
      <c r="D2102" t="s">
        <v>50</v>
      </c>
      <c r="E2102" t="s">
        <v>41</v>
      </c>
      <c r="F2102" t="s">
        <v>20</v>
      </c>
      <c r="G2102" t="s">
        <v>21</v>
      </c>
      <c r="H2102">
        <v>3</v>
      </c>
      <c r="I2102">
        <v>165000</v>
      </c>
    </row>
    <row r="2103" spans="1:9" x14ac:dyDescent="0.3">
      <c r="A2103" s="1">
        <v>46166</v>
      </c>
      <c r="B2103">
        <v>2026</v>
      </c>
      <c r="C2103">
        <v>5</v>
      </c>
      <c r="D2103" t="s">
        <v>44</v>
      </c>
      <c r="E2103" t="s">
        <v>45</v>
      </c>
      <c r="F2103" t="s">
        <v>20</v>
      </c>
      <c r="G2103" t="s">
        <v>21</v>
      </c>
      <c r="H2103">
        <v>2</v>
      </c>
      <c r="I2103">
        <v>110000</v>
      </c>
    </row>
    <row r="2104" spans="1:9" x14ac:dyDescent="0.3">
      <c r="A2104" s="1">
        <v>46060</v>
      </c>
      <c r="B2104">
        <v>2026</v>
      </c>
      <c r="C2104">
        <v>2</v>
      </c>
      <c r="D2104" t="s">
        <v>49</v>
      </c>
      <c r="E2104" t="s">
        <v>47</v>
      </c>
      <c r="F2104" t="s">
        <v>20</v>
      </c>
      <c r="G2104" t="s">
        <v>21</v>
      </c>
      <c r="H2104">
        <v>5</v>
      </c>
      <c r="I2104">
        <v>275000</v>
      </c>
    </row>
    <row r="2105" spans="1:9" x14ac:dyDescent="0.3">
      <c r="A2105" s="1">
        <v>46137</v>
      </c>
      <c r="B2105">
        <v>2026</v>
      </c>
      <c r="C2105">
        <v>4</v>
      </c>
      <c r="D2105" t="s">
        <v>46</v>
      </c>
      <c r="E2105" t="s">
        <v>47</v>
      </c>
      <c r="F2105" t="s">
        <v>20</v>
      </c>
      <c r="G2105" t="s">
        <v>21</v>
      </c>
      <c r="H2105">
        <v>4</v>
      </c>
      <c r="I2105">
        <v>220000</v>
      </c>
    </row>
    <row r="2106" spans="1:9" x14ac:dyDescent="0.3">
      <c r="A2106" s="1">
        <v>46045</v>
      </c>
      <c r="B2106">
        <v>2026</v>
      </c>
      <c r="C2106">
        <v>1</v>
      </c>
      <c r="D2106" t="s">
        <v>42</v>
      </c>
      <c r="E2106" t="s">
        <v>43</v>
      </c>
      <c r="F2106" t="s">
        <v>20</v>
      </c>
      <c r="G2106" t="s">
        <v>21</v>
      </c>
      <c r="H2106">
        <v>2</v>
      </c>
      <c r="I2106">
        <v>110000</v>
      </c>
    </row>
    <row r="2107" spans="1:9" x14ac:dyDescent="0.3">
      <c r="A2107" s="1">
        <v>46236</v>
      </c>
      <c r="B2107">
        <v>2026</v>
      </c>
      <c r="C2107">
        <v>8</v>
      </c>
      <c r="D2107" t="s">
        <v>40</v>
      </c>
      <c r="E2107" t="s">
        <v>41</v>
      </c>
      <c r="F2107" t="s">
        <v>20</v>
      </c>
      <c r="G2107" t="s">
        <v>21</v>
      </c>
      <c r="H2107">
        <v>1</v>
      </c>
      <c r="I2107">
        <v>55000</v>
      </c>
    </row>
    <row r="2108" spans="1:9" x14ac:dyDescent="0.3">
      <c r="A2108" s="1">
        <v>46040</v>
      </c>
      <c r="B2108">
        <v>2026</v>
      </c>
      <c r="C2108">
        <v>1</v>
      </c>
      <c r="D2108" t="s">
        <v>48</v>
      </c>
      <c r="E2108" t="s">
        <v>43</v>
      </c>
      <c r="F2108" t="s">
        <v>20</v>
      </c>
      <c r="G2108" t="s">
        <v>21</v>
      </c>
      <c r="H2108">
        <v>3</v>
      </c>
      <c r="I2108">
        <v>165000</v>
      </c>
    </row>
    <row r="2109" spans="1:9" x14ac:dyDescent="0.3">
      <c r="A2109" s="1">
        <v>46044</v>
      </c>
      <c r="B2109">
        <v>2026</v>
      </c>
      <c r="C2109">
        <v>1</v>
      </c>
      <c r="D2109" t="s">
        <v>51</v>
      </c>
      <c r="E2109" t="s">
        <v>45</v>
      </c>
      <c r="F2109" t="s">
        <v>20</v>
      </c>
      <c r="G2109" t="s">
        <v>21</v>
      </c>
      <c r="H2109">
        <v>3</v>
      </c>
      <c r="I2109">
        <v>165000</v>
      </c>
    </row>
    <row r="2110" spans="1:9" x14ac:dyDescent="0.3">
      <c r="A2110" s="1">
        <v>46047</v>
      </c>
      <c r="B2110">
        <v>2026</v>
      </c>
      <c r="C2110">
        <v>1</v>
      </c>
      <c r="D2110" t="s">
        <v>50</v>
      </c>
      <c r="E2110" t="s">
        <v>41</v>
      </c>
      <c r="F2110" t="s">
        <v>20</v>
      </c>
      <c r="G2110" t="s">
        <v>21</v>
      </c>
      <c r="H2110">
        <v>1</v>
      </c>
      <c r="I2110">
        <v>55000</v>
      </c>
    </row>
    <row r="2111" spans="1:9" x14ac:dyDescent="0.3">
      <c r="A2111" s="1">
        <v>46179</v>
      </c>
      <c r="B2111">
        <v>2026</v>
      </c>
      <c r="C2111">
        <v>6</v>
      </c>
      <c r="D2111" t="s">
        <v>40</v>
      </c>
      <c r="E2111" t="s">
        <v>41</v>
      </c>
      <c r="F2111" t="s">
        <v>20</v>
      </c>
      <c r="G2111" t="s">
        <v>21</v>
      </c>
      <c r="H2111">
        <v>1</v>
      </c>
      <c r="I2111">
        <v>55000</v>
      </c>
    </row>
    <row r="2112" spans="1:9" x14ac:dyDescent="0.3">
      <c r="A2112" s="1">
        <v>46255</v>
      </c>
      <c r="B2112">
        <v>2026</v>
      </c>
      <c r="C2112">
        <v>8</v>
      </c>
      <c r="D2112" t="s">
        <v>50</v>
      </c>
      <c r="E2112" t="s">
        <v>41</v>
      </c>
      <c r="F2112" t="s">
        <v>20</v>
      </c>
      <c r="G2112" t="s">
        <v>21</v>
      </c>
      <c r="H2112">
        <v>3</v>
      </c>
      <c r="I2112">
        <v>165000</v>
      </c>
    </row>
    <row r="2113" spans="1:9" x14ac:dyDescent="0.3">
      <c r="A2113" s="1">
        <v>46246</v>
      </c>
      <c r="B2113">
        <v>2026</v>
      </c>
      <c r="C2113">
        <v>8</v>
      </c>
      <c r="D2113" t="s">
        <v>48</v>
      </c>
      <c r="E2113" t="s">
        <v>43</v>
      </c>
      <c r="F2113" t="s">
        <v>20</v>
      </c>
      <c r="G2113" t="s">
        <v>21</v>
      </c>
      <c r="H2113">
        <v>3</v>
      </c>
      <c r="I2113">
        <v>165000</v>
      </c>
    </row>
    <row r="2114" spans="1:9" x14ac:dyDescent="0.3">
      <c r="A2114" s="1">
        <v>46240</v>
      </c>
      <c r="B2114">
        <v>2026</v>
      </c>
      <c r="C2114">
        <v>8</v>
      </c>
      <c r="D2114" t="s">
        <v>50</v>
      </c>
      <c r="E2114" t="s">
        <v>41</v>
      </c>
      <c r="F2114" t="s">
        <v>20</v>
      </c>
      <c r="G2114" t="s">
        <v>21</v>
      </c>
      <c r="H2114">
        <v>1</v>
      </c>
      <c r="I2114">
        <v>55000</v>
      </c>
    </row>
    <row r="2115" spans="1:9" x14ac:dyDescent="0.3">
      <c r="A2115" s="1">
        <v>46146</v>
      </c>
      <c r="B2115">
        <v>2026</v>
      </c>
      <c r="C2115">
        <v>5</v>
      </c>
      <c r="D2115" t="s">
        <v>42</v>
      </c>
      <c r="E2115" t="s">
        <v>43</v>
      </c>
      <c r="F2115" t="s">
        <v>20</v>
      </c>
      <c r="G2115" t="s">
        <v>21</v>
      </c>
      <c r="H2115">
        <v>5</v>
      </c>
      <c r="I2115">
        <v>275000</v>
      </c>
    </row>
    <row r="2116" spans="1:9" x14ac:dyDescent="0.3">
      <c r="A2116" s="1">
        <v>46325</v>
      </c>
      <c r="B2116">
        <v>2026</v>
      </c>
      <c r="C2116">
        <v>10</v>
      </c>
      <c r="D2116" t="s">
        <v>48</v>
      </c>
      <c r="E2116" t="s">
        <v>43</v>
      </c>
      <c r="F2116" t="s">
        <v>20</v>
      </c>
      <c r="G2116" t="s">
        <v>21</v>
      </c>
      <c r="H2116">
        <v>4</v>
      </c>
      <c r="I2116">
        <v>220000</v>
      </c>
    </row>
    <row r="2117" spans="1:9" x14ac:dyDescent="0.3">
      <c r="A2117" s="1">
        <v>46262</v>
      </c>
      <c r="B2117">
        <v>2026</v>
      </c>
      <c r="C2117">
        <v>8</v>
      </c>
      <c r="D2117" t="s">
        <v>40</v>
      </c>
      <c r="E2117" t="s">
        <v>41</v>
      </c>
      <c r="F2117" t="s">
        <v>20</v>
      </c>
      <c r="G2117" t="s">
        <v>21</v>
      </c>
      <c r="H2117">
        <v>2</v>
      </c>
      <c r="I2117">
        <v>110000</v>
      </c>
    </row>
    <row r="2118" spans="1:9" x14ac:dyDescent="0.3">
      <c r="A2118" s="1">
        <v>46120</v>
      </c>
      <c r="B2118">
        <v>2026</v>
      </c>
      <c r="C2118">
        <v>4</v>
      </c>
      <c r="D2118" t="s">
        <v>46</v>
      </c>
      <c r="E2118" t="s">
        <v>47</v>
      </c>
      <c r="F2118" t="s">
        <v>20</v>
      </c>
      <c r="G2118" t="s">
        <v>21</v>
      </c>
      <c r="H2118">
        <v>1</v>
      </c>
      <c r="I2118">
        <v>55000</v>
      </c>
    </row>
    <row r="2119" spans="1:9" x14ac:dyDescent="0.3">
      <c r="A2119" s="1">
        <v>46177</v>
      </c>
      <c r="B2119">
        <v>2026</v>
      </c>
      <c r="C2119">
        <v>6</v>
      </c>
      <c r="D2119" t="s">
        <v>46</v>
      </c>
      <c r="E2119" t="s">
        <v>47</v>
      </c>
      <c r="F2119" t="s">
        <v>20</v>
      </c>
      <c r="G2119" t="s">
        <v>21</v>
      </c>
      <c r="H2119">
        <v>5</v>
      </c>
      <c r="I2119">
        <v>275000</v>
      </c>
    </row>
    <row r="2120" spans="1:9" x14ac:dyDescent="0.3">
      <c r="A2120" s="1">
        <v>46264</v>
      </c>
      <c r="B2120">
        <v>2026</v>
      </c>
      <c r="C2120">
        <v>8</v>
      </c>
      <c r="D2120" t="s">
        <v>44</v>
      </c>
      <c r="E2120" t="s">
        <v>45</v>
      </c>
      <c r="F2120" t="s">
        <v>20</v>
      </c>
      <c r="G2120" t="s">
        <v>21</v>
      </c>
      <c r="H2120">
        <v>5</v>
      </c>
      <c r="I2120">
        <v>275000</v>
      </c>
    </row>
    <row r="2121" spans="1:9" x14ac:dyDescent="0.3">
      <c r="A2121" s="1">
        <v>46292</v>
      </c>
      <c r="B2121">
        <v>2026</v>
      </c>
      <c r="C2121">
        <v>9</v>
      </c>
      <c r="D2121" t="s">
        <v>40</v>
      </c>
      <c r="E2121" t="s">
        <v>41</v>
      </c>
      <c r="F2121" t="s">
        <v>20</v>
      </c>
      <c r="G2121" t="s">
        <v>21</v>
      </c>
      <c r="H2121">
        <v>4</v>
      </c>
      <c r="I2121">
        <v>220000</v>
      </c>
    </row>
    <row r="2122" spans="1:9" x14ac:dyDescent="0.3">
      <c r="A2122" s="1">
        <v>46100</v>
      </c>
      <c r="B2122">
        <v>2026</v>
      </c>
      <c r="C2122">
        <v>3</v>
      </c>
      <c r="D2122" t="s">
        <v>50</v>
      </c>
      <c r="E2122" t="s">
        <v>41</v>
      </c>
      <c r="F2122" t="s">
        <v>20</v>
      </c>
      <c r="G2122" t="s">
        <v>21</v>
      </c>
      <c r="H2122">
        <v>3</v>
      </c>
      <c r="I2122">
        <v>165000</v>
      </c>
    </row>
    <row r="2123" spans="1:9" x14ac:dyDescent="0.3">
      <c r="A2123" s="1">
        <v>46139</v>
      </c>
      <c r="B2123">
        <v>2026</v>
      </c>
      <c r="C2123">
        <v>4</v>
      </c>
      <c r="D2123" t="s">
        <v>49</v>
      </c>
      <c r="E2123" t="s">
        <v>47</v>
      </c>
      <c r="F2123" t="s">
        <v>20</v>
      </c>
      <c r="G2123" t="s">
        <v>21</v>
      </c>
      <c r="H2123">
        <v>5</v>
      </c>
      <c r="I2123">
        <v>275000</v>
      </c>
    </row>
    <row r="2124" spans="1:9" x14ac:dyDescent="0.3">
      <c r="A2124" s="1">
        <v>46215</v>
      </c>
      <c r="B2124">
        <v>2026</v>
      </c>
      <c r="C2124">
        <v>7</v>
      </c>
      <c r="D2124" t="s">
        <v>51</v>
      </c>
      <c r="E2124" t="s">
        <v>45</v>
      </c>
      <c r="F2124" t="s">
        <v>20</v>
      </c>
      <c r="G2124" t="s">
        <v>21</v>
      </c>
      <c r="H2124">
        <v>4</v>
      </c>
      <c r="I2124">
        <v>220000</v>
      </c>
    </row>
    <row r="2125" spans="1:9" x14ac:dyDescent="0.3">
      <c r="A2125" s="1">
        <v>46295</v>
      </c>
      <c r="B2125">
        <v>2026</v>
      </c>
      <c r="C2125">
        <v>9</v>
      </c>
      <c r="D2125" t="s">
        <v>42</v>
      </c>
      <c r="E2125" t="s">
        <v>43</v>
      </c>
      <c r="F2125" t="s">
        <v>20</v>
      </c>
      <c r="G2125" t="s">
        <v>21</v>
      </c>
      <c r="H2125">
        <v>4</v>
      </c>
      <c r="I2125">
        <v>220000</v>
      </c>
    </row>
    <row r="2126" spans="1:9" x14ac:dyDescent="0.3">
      <c r="A2126" s="1">
        <v>46150</v>
      </c>
      <c r="B2126">
        <v>2026</v>
      </c>
      <c r="C2126">
        <v>5</v>
      </c>
      <c r="D2126" t="s">
        <v>46</v>
      </c>
      <c r="E2126" t="s">
        <v>47</v>
      </c>
      <c r="F2126" t="s">
        <v>20</v>
      </c>
      <c r="G2126" t="s">
        <v>21</v>
      </c>
      <c r="H2126">
        <v>3</v>
      </c>
      <c r="I2126">
        <v>165000</v>
      </c>
    </row>
    <row r="2127" spans="1:9" x14ac:dyDescent="0.3">
      <c r="A2127" s="1">
        <v>46093</v>
      </c>
      <c r="B2127">
        <v>2026</v>
      </c>
      <c r="C2127">
        <v>3</v>
      </c>
      <c r="D2127" t="s">
        <v>50</v>
      </c>
      <c r="E2127" t="s">
        <v>41</v>
      </c>
      <c r="F2127" t="s">
        <v>20</v>
      </c>
      <c r="G2127" t="s">
        <v>21</v>
      </c>
      <c r="H2127">
        <v>5</v>
      </c>
      <c r="I2127">
        <v>275000</v>
      </c>
    </row>
    <row r="2128" spans="1:9" x14ac:dyDescent="0.3">
      <c r="A2128" s="1">
        <v>46323</v>
      </c>
      <c r="B2128">
        <v>2026</v>
      </c>
      <c r="C2128">
        <v>10</v>
      </c>
      <c r="D2128" t="s">
        <v>42</v>
      </c>
      <c r="E2128" t="s">
        <v>43</v>
      </c>
      <c r="F2128" t="s">
        <v>20</v>
      </c>
      <c r="G2128" t="s">
        <v>21</v>
      </c>
      <c r="H2128">
        <v>2</v>
      </c>
      <c r="I2128">
        <v>110000</v>
      </c>
    </row>
    <row r="2129" spans="1:9" x14ac:dyDescent="0.3">
      <c r="A2129" s="1">
        <v>46228</v>
      </c>
      <c r="B2129">
        <v>2026</v>
      </c>
      <c r="C2129">
        <v>7</v>
      </c>
      <c r="D2129" t="s">
        <v>49</v>
      </c>
      <c r="E2129" t="s">
        <v>47</v>
      </c>
      <c r="F2129" t="s">
        <v>20</v>
      </c>
      <c r="G2129" t="s">
        <v>21</v>
      </c>
      <c r="H2129">
        <v>1</v>
      </c>
      <c r="I2129">
        <v>55000</v>
      </c>
    </row>
    <row r="2130" spans="1:9" x14ac:dyDescent="0.3">
      <c r="A2130" s="1">
        <v>46085</v>
      </c>
      <c r="B2130">
        <v>2026</v>
      </c>
      <c r="C2130">
        <v>3</v>
      </c>
      <c r="D2130" t="s">
        <v>40</v>
      </c>
      <c r="E2130" t="s">
        <v>41</v>
      </c>
      <c r="F2130" t="s">
        <v>20</v>
      </c>
      <c r="G2130" t="s">
        <v>21</v>
      </c>
      <c r="H2130">
        <v>3</v>
      </c>
      <c r="I2130">
        <v>165000</v>
      </c>
    </row>
    <row r="2131" spans="1:9" x14ac:dyDescent="0.3">
      <c r="A2131" s="1">
        <v>46143</v>
      </c>
      <c r="B2131">
        <v>2026</v>
      </c>
      <c r="C2131">
        <v>5</v>
      </c>
      <c r="D2131" t="s">
        <v>51</v>
      </c>
      <c r="E2131" t="s">
        <v>45</v>
      </c>
      <c r="F2131" t="s">
        <v>20</v>
      </c>
      <c r="G2131" t="s">
        <v>21</v>
      </c>
      <c r="H2131">
        <v>5</v>
      </c>
      <c r="I2131">
        <v>275000</v>
      </c>
    </row>
    <row r="2132" spans="1:9" x14ac:dyDescent="0.3">
      <c r="A2132" s="1">
        <v>46175</v>
      </c>
      <c r="B2132">
        <v>2026</v>
      </c>
      <c r="C2132">
        <v>6</v>
      </c>
      <c r="D2132" t="s">
        <v>44</v>
      </c>
      <c r="E2132" t="s">
        <v>45</v>
      </c>
      <c r="F2132" t="s">
        <v>20</v>
      </c>
      <c r="G2132" t="s">
        <v>21</v>
      </c>
      <c r="H2132">
        <v>5</v>
      </c>
      <c r="I2132">
        <v>275000</v>
      </c>
    </row>
    <row r="2133" spans="1:9" x14ac:dyDescent="0.3">
      <c r="A2133" s="1">
        <v>46207</v>
      </c>
      <c r="B2133">
        <v>2026</v>
      </c>
      <c r="C2133">
        <v>7</v>
      </c>
      <c r="D2133" t="s">
        <v>44</v>
      </c>
      <c r="E2133" t="s">
        <v>45</v>
      </c>
      <c r="F2133" t="s">
        <v>20</v>
      </c>
      <c r="G2133" t="s">
        <v>21</v>
      </c>
      <c r="H2133">
        <v>5</v>
      </c>
      <c r="I2133">
        <v>275000</v>
      </c>
    </row>
    <row r="2134" spans="1:9" x14ac:dyDescent="0.3">
      <c r="A2134" s="1">
        <v>46262</v>
      </c>
      <c r="B2134">
        <v>2026</v>
      </c>
      <c r="C2134">
        <v>8</v>
      </c>
      <c r="D2134" t="s">
        <v>40</v>
      </c>
      <c r="E2134" t="s">
        <v>41</v>
      </c>
      <c r="F2134" t="s">
        <v>20</v>
      </c>
      <c r="G2134" t="s">
        <v>21</v>
      </c>
      <c r="H2134">
        <v>5</v>
      </c>
      <c r="I2134">
        <v>275000</v>
      </c>
    </row>
    <row r="2135" spans="1:9" x14ac:dyDescent="0.3">
      <c r="A2135" s="1">
        <v>46153</v>
      </c>
      <c r="B2135">
        <v>2026</v>
      </c>
      <c r="C2135">
        <v>5</v>
      </c>
      <c r="D2135" t="s">
        <v>46</v>
      </c>
      <c r="E2135" t="s">
        <v>47</v>
      </c>
      <c r="F2135" t="s">
        <v>20</v>
      </c>
      <c r="G2135" t="s">
        <v>21</v>
      </c>
      <c r="H2135">
        <v>3</v>
      </c>
      <c r="I2135">
        <v>165000</v>
      </c>
    </row>
    <row r="2136" spans="1:9" x14ac:dyDescent="0.3">
      <c r="A2136" s="1">
        <v>46294</v>
      </c>
      <c r="B2136">
        <v>2026</v>
      </c>
      <c r="C2136">
        <v>9</v>
      </c>
      <c r="D2136" t="s">
        <v>42</v>
      </c>
      <c r="E2136" t="s">
        <v>43</v>
      </c>
      <c r="F2136" t="s">
        <v>20</v>
      </c>
      <c r="G2136" t="s">
        <v>21</v>
      </c>
      <c r="H2136">
        <v>3</v>
      </c>
      <c r="I2136">
        <v>165000</v>
      </c>
    </row>
    <row r="2137" spans="1:9" x14ac:dyDescent="0.3">
      <c r="A2137" s="1">
        <v>46095</v>
      </c>
      <c r="B2137">
        <v>2026</v>
      </c>
      <c r="C2137">
        <v>3</v>
      </c>
      <c r="D2137" t="s">
        <v>44</v>
      </c>
      <c r="E2137" t="s">
        <v>45</v>
      </c>
      <c r="F2137" t="s">
        <v>20</v>
      </c>
      <c r="G2137" t="s">
        <v>21</v>
      </c>
      <c r="H2137">
        <v>2</v>
      </c>
      <c r="I2137">
        <v>110000</v>
      </c>
    </row>
    <row r="2138" spans="1:9" x14ac:dyDescent="0.3">
      <c r="A2138" s="1">
        <v>46175</v>
      </c>
      <c r="B2138">
        <v>2026</v>
      </c>
      <c r="C2138">
        <v>6</v>
      </c>
      <c r="D2138" t="s">
        <v>48</v>
      </c>
      <c r="E2138" t="s">
        <v>43</v>
      </c>
      <c r="F2138" t="s">
        <v>20</v>
      </c>
      <c r="G2138" t="s">
        <v>21</v>
      </c>
      <c r="H2138">
        <v>4</v>
      </c>
      <c r="I2138">
        <v>220000</v>
      </c>
    </row>
    <row r="2139" spans="1:9" x14ac:dyDescent="0.3">
      <c r="A2139" s="1">
        <v>46171</v>
      </c>
      <c r="B2139">
        <v>2026</v>
      </c>
      <c r="C2139">
        <v>5</v>
      </c>
      <c r="D2139" t="s">
        <v>51</v>
      </c>
      <c r="E2139" t="s">
        <v>45</v>
      </c>
      <c r="F2139" t="s">
        <v>20</v>
      </c>
      <c r="G2139" t="s">
        <v>21</v>
      </c>
      <c r="H2139">
        <v>2</v>
      </c>
      <c r="I2139">
        <v>110000</v>
      </c>
    </row>
    <row r="2140" spans="1:9" x14ac:dyDescent="0.3">
      <c r="A2140" s="1">
        <v>46143</v>
      </c>
      <c r="B2140">
        <v>2026</v>
      </c>
      <c r="C2140">
        <v>5</v>
      </c>
      <c r="D2140" t="s">
        <v>51</v>
      </c>
      <c r="E2140" t="s">
        <v>45</v>
      </c>
      <c r="F2140" t="s">
        <v>20</v>
      </c>
      <c r="G2140" t="s">
        <v>21</v>
      </c>
      <c r="H2140">
        <v>1</v>
      </c>
      <c r="I2140">
        <v>55000</v>
      </c>
    </row>
    <row r="2141" spans="1:9" x14ac:dyDescent="0.3">
      <c r="A2141" s="1">
        <v>46249</v>
      </c>
      <c r="B2141">
        <v>2026</v>
      </c>
      <c r="C2141">
        <v>8</v>
      </c>
      <c r="D2141" t="s">
        <v>40</v>
      </c>
      <c r="E2141" t="s">
        <v>41</v>
      </c>
      <c r="F2141" t="s">
        <v>20</v>
      </c>
      <c r="G2141" t="s">
        <v>21</v>
      </c>
      <c r="H2141">
        <v>3</v>
      </c>
      <c r="I2141">
        <v>165000</v>
      </c>
    </row>
    <row r="2142" spans="1:9" x14ac:dyDescent="0.3">
      <c r="A2142" s="1">
        <v>46195</v>
      </c>
      <c r="B2142">
        <v>2026</v>
      </c>
      <c r="C2142">
        <v>6</v>
      </c>
      <c r="D2142" t="s">
        <v>49</v>
      </c>
      <c r="E2142" t="s">
        <v>47</v>
      </c>
      <c r="F2142" t="s">
        <v>20</v>
      </c>
      <c r="G2142" t="s">
        <v>21</v>
      </c>
      <c r="H2142">
        <v>3</v>
      </c>
      <c r="I2142">
        <v>165000</v>
      </c>
    </row>
    <row r="2143" spans="1:9" x14ac:dyDescent="0.3">
      <c r="A2143" s="1">
        <v>46234</v>
      </c>
      <c r="B2143">
        <v>2026</v>
      </c>
      <c r="C2143">
        <v>7</v>
      </c>
      <c r="D2143" t="s">
        <v>44</v>
      </c>
      <c r="E2143" t="s">
        <v>45</v>
      </c>
      <c r="F2143" t="s">
        <v>20</v>
      </c>
      <c r="G2143" t="s">
        <v>21</v>
      </c>
      <c r="H2143">
        <v>4</v>
      </c>
      <c r="I2143">
        <v>220000</v>
      </c>
    </row>
    <row r="2144" spans="1:9" x14ac:dyDescent="0.3">
      <c r="A2144" s="1">
        <v>46081</v>
      </c>
      <c r="B2144">
        <v>2026</v>
      </c>
      <c r="C2144">
        <v>2</v>
      </c>
      <c r="D2144" t="s">
        <v>49</v>
      </c>
      <c r="E2144" t="s">
        <v>47</v>
      </c>
      <c r="F2144" t="s">
        <v>20</v>
      </c>
      <c r="G2144" t="s">
        <v>21</v>
      </c>
      <c r="H2144">
        <v>4</v>
      </c>
      <c r="I2144">
        <v>220000</v>
      </c>
    </row>
    <row r="2145" spans="1:9" x14ac:dyDescent="0.3">
      <c r="A2145" s="1">
        <v>46300</v>
      </c>
      <c r="B2145">
        <v>2026</v>
      </c>
      <c r="C2145">
        <v>10</v>
      </c>
      <c r="D2145" t="s">
        <v>48</v>
      </c>
      <c r="E2145" t="s">
        <v>43</v>
      </c>
      <c r="F2145" t="s">
        <v>20</v>
      </c>
      <c r="G2145" t="s">
        <v>21</v>
      </c>
      <c r="H2145">
        <v>1</v>
      </c>
      <c r="I2145">
        <v>55000</v>
      </c>
    </row>
    <row r="2146" spans="1:9" x14ac:dyDescent="0.3">
      <c r="A2146" s="1">
        <v>46062</v>
      </c>
      <c r="B2146">
        <v>2026</v>
      </c>
      <c r="C2146">
        <v>2</v>
      </c>
      <c r="D2146" t="s">
        <v>44</v>
      </c>
      <c r="E2146" t="s">
        <v>45</v>
      </c>
      <c r="F2146" t="s">
        <v>20</v>
      </c>
      <c r="G2146" t="s">
        <v>21</v>
      </c>
      <c r="H2146">
        <v>3</v>
      </c>
      <c r="I2146">
        <v>165000</v>
      </c>
    </row>
    <row r="2147" spans="1:9" x14ac:dyDescent="0.3">
      <c r="A2147" s="1">
        <v>46262</v>
      </c>
      <c r="B2147">
        <v>2026</v>
      </c>
      <c r="C2147">
        <v>8</v>
      </c>
      <c r="D2147" t="s">
        <v>48</v>
      </c>
      <c r="E2147" t="s">
        <v>43</v>
      </c>
      <c r="F2147" t="s">
        <v>20</v>
      </c>
      <c r="G2147" t="s">
        <v>21</v>
      </c>
      <c r="H2147">
        <v>2</v>
      </c>
      <c r="I2147">
        <v>110000</v>
      </c>
    </row>
    <row r="2148" spans="1:9" x14ac:dyDescent="0.3">
      <c r="A2148" s="1">
        <v>46140</v>
      </c>
      <c r="B2148">
        <v>2026</v>
      </c>
      <c r="C2148">
        <v>4</v>
      </c>
      <c r="D2148" t="s">
        <v>44</v>
      </c>
      <c r="E2148" t="s">
        <v>45</v>
      </c>
      <c r="F2148" t="s">
        <v>20</v>
      </c>
      <c r="G2148" t="s">
        <v>21</v>
      </c>
      <c r="H2148">
        <v>1</v>
      </c>
      <c r="I2148">
        <v>55000</v>
      </c>
    </row>
    <row r="2149" spans="1:9" x14ac:dyDescent="0.3">
      <c r="A2149" s="1">
        <v>46176</v>
      </c>
      <c r="B2149">
        <v>2026</v>
      </c>
      <c r="C2149">
        <v>6</v>
      </c>
      <c r="D2149" t="s">
        <v>44</v>
      </c>
      <c r="E2149" t="s">
        <v>45</v>
      </c>
      <c r="F2149" t="s">
        <v>20</v>
      </c>
      <c r="G2149" t="s">
        <v>21</v>
      </c>
      <c r="H2149">
        <v>2</v>
      </c>
      <c r="I2149">
        <v>110000</v>
      </c>
    </row>
    <row r="2150" spans="1:9" x14ac:dyDescent="0.3">
      <c r="A2150" s="1">
        <v>46089</v>
      </c>
      <c r="B2150">
        <v>2026</v>
      </c>
      <c r="C2150">
        <v>3</v>
      </c>
      <c r="D2150" t="s">
        <v>44</v>
      </c>
      <c r="E2150" t="s">
        <v>45</v>
      </c>
      <c r="F2150" t="s">
        <v>20</v>
      </c>
      <c r="G2150" t="s">
        <v>21</v>
      </c>
      <c r="H2150">
        <v>3</v>
      </c>
      <c r="I2150">
        <v>165000</v>
      </c>
    </row>
    <row r="2151" spans="1:9" x14ac:dyDescent="0.3">
      <c r="A2151" s="1">
        <v>46193</v>
      </c>
      <c r="B2151">
        <v>2026</v>
      </c>
      <c r="C2151">
        <v>6</v>
      </c>
      <c r="D2151" t="s">
        <v>48</v>
      </c>
      <c r="E2151" t="s">
        <v>43</v>
      </c>
      <c r="F2151" t="s">
        <v>20</v>
      </c>
      <c r="G2151" t="s">
        <v>21</v>
      </c>
      <c r="H2151">
        <v>5</v>
      </c>
      <c r="I2151">
        <v>275000</v>
      </c>
    </row>
    <row r="2152" spans="1:9" x14ac:dyDescent="0.3">
      <c r="A2152" s="1">
        <v>46104</v>
      </c>
      <c r="B2152">
        <v>2026</v>
      </c>
      <c r="C2152">
        <v>3</v>
      </c>
      <c r="D2152" t="s">
        <v>40</v>
      </c>
      <c r="E2152" t="s">
        <v>41</v>
      </c>
      <c r="F2152" t="s">
        <v>20</v>
      </c>
      <c r="G2152" t="s">
        <v>21</v>
      </c>
      <c r="H2152">
        <v>2</v>
      </c>
      <c r="I2152">
        <v>110000</v>
      </c>
    </row>
    <row r="2153" spans="1:9" x14ac:dyDescent="0.3">
      <c r="A2153" s="1">
        <v>46099</v>
      </c>
      <c r="B2153">
        <v>2026</v>
      </c>
      <c r="C2153">
        <v>3</v>
      </c>
      <c r="D2153" t="s">
        <v>51</v>
      </c>
      <c r="E2153" t="s">
        <v>45</v>
      </c>
      <c r="F2153" t="s">
        <v>20</v>
      </c>
      <c r="G2153" t="s">
        <v>21</v>
      </c>
      <c r="H2153">
        <v>1</v>
      </c>
      <c r="I2153">
        <v>55000</v>
      </c>
    </row>
    <row r="2154" spans="1:9" x14ac:dyDescent="0.3">
      <c r="A2154" s="1">
        <v>46307</v>
      </c>
      <c r="B2154">
        <v>2026</v>
      </c>
      <c r="C2154">
        <v>10</v>
      </c>
      <c r="D2154" t="s">
        <v>42</v>
      </c>
      <c r="E2154" t="s">
        <v>43</v>
      </c>
      <c r="F2154" t="s">
        <v>20</v>
      </c>
      <c r="G2154" t="s">
        <v>21</v>
      </c>
      <c r="H2154">
        <v>3</v>
      </c>
      <c r="I2154">
        <v>165000</v>
      </c>
    </row>
    <row r="2155" spans="1:9" x14ac:dyDescent="0.3">
      <c r="A2155" s="1">
        <v>46129</v>
      </c>
      <c r="B2155">
        <v>2026</v>
      </c>
      <c r="C2155">
        <v>4</v>
      </c>
      <c r="D2155" t="s">
        <v>46</v>
      </c>
      <c r="E2155" t="s">
        <v>47</v>
      </c>
      <c r="F2155" t="s">
        <v>20</v>
      </c>
      <c r="G2155" t="s">
        <v>21</v>
      </c>
      <c r="H2155">
        <v>3</v>
      </c>
      <c r="I2155">
        <v>165000</v>
      </c>
    </row>
    <row r="2156" spans="1:9" x14ac:dyDescent="0.3">
      <c r="A2156" s="1">
        <v>46215</v>
      </c>
      <c r="B2156">
        <v>2026</v>
      </c>
      <c r="C2156">
        <v>7</v>
      </c>
      <c r="D2156" t="s">
        <v>44</v>
      </c>
      <c r="E2156" t="s">
        <v>45</v>
      </c>
      <c r="F2156" t="s">
        <v>20</v>
      </c>
      <c r="G2156" t="s">
        <v>21</v>
      </c>
      <c r="H2156">
        <v>2</v>
      </c>
      <c r="I2156">
        <v>110000</v>
      </c>
    </row>
    <row r="2157" spans="1:9" x14ac:dyDescent="0.3">
      <c r="A2157" s="1">
        <v>46224</v>
      </c>
      <c r="B2157">
        <v>2026</v>
      </c>
      <c r="C2157">
        <v>7</v>
      </c>
      <c r="D2157" t="s">
        <v>49</v>
      </c>
      <c r="E2157" t="s">
        <v>47</v>
      </c>
      <c r="F2157" t="s">
        <v>20</v>
      </c>
      <c r="G2157" t="s">
        <v>21</v>
      </c>
      <c r="H2157">
        <v>5</v>
      </c>
      <c r="I2157">
        <v>275000</v>
      </c>
    </row>
    <row r="2158" spans="1:9" x14ac:dyDescent="0.3">
      <c r="A2158" s="1">
        <v>46050</v>
      </c>
      <c r="B2158">
        <v>2026</v>
      </c>
      <c r="C2158">
        <v>1</v>
      </c>
      <c r="D2158" t="s">
        <v>49</v>
      </c>
      <c r="E2158" t="s">
        <v>47</v>
      </c>
      <c r="F2158" t="s">
        <v>20</v>
      </c>
      <c r="G2158" t="s">
        <v>21</v>
      </c>
      <c r="H2158">
        <v>2</v>
      </c>
      <c r="I2158">
        <v>110000</v>
      </c>
    </row>
    <row r="2159" spans="1:9" x14ac:dyDescent="0.3">
      <c r="A2159" s="1">
        <v>46298</v>
      </c>
      <c r="B2159">
        <v>2026</v>
      </c>
      <c r="C2159">
        <v>10</v>
      </c>
      <c r="D2159" t="s">
        <v>40</v>
      </c>
      <c r="E2159" t="s">
        <v>41</v>
      </c>
      <c r="F2159" t="s">
        <v>20</v>
      </c>
      <c r="G2159" t="s">
        <v>21</v>
      </c>
      <c r="H2159">
        <v>3</v>
      </c>
      <c r="I2159">
        <v>165000</v>
      </c>
    </row>
    <row r="2160" spans="1:9" x14ac:dyDescent="0.3">
      <c r="A2160" s="1">
        <v>46057</v>
      </c>
      <c r="B2160">
        <v>2026</v>
      </c>
      <c r="C2160">
        <v>2</v>
      </c>
      <c r="D2160" t="s">
        <v>51</v>
      </c>
      <c r="E2160" t="s">
        <v>45</v>
      </c>
      <c r="F2160" t="s">
        <v>20</v>
      </c>
      <c r="G2160" t="s">
        <v>21</v>
      </c>
      <c r="H2160">
        <v>2</v>
      </c>
      <c r="I2160">
        <v>110000</v>
      </c>
    </row>
    <row r="2161" spans="1:9" x14ac:dyDescent="0.3">
      <c r="A2161" s="1">
        <v>46319</v>
      </c>
      <c r="B2161">
        <v>2026</v>
      </c>
      <c r="C2161">
        <v>10</v>
      </c>
      <c r="D2161" t="s">
        <v>48</v>
      </c>
      <c r="E2161" t="s">
        <v>43</v>
      </c>
      <c r="F2161" t="s">
        <v>20</v>
      </c>
      <c r="G2161" t="s">
        <v>21</v>
      </c>
      <c r="H2161">
        <v>5</v>
      </c>
      <c r="I2161">
        <v>275000</v>
      </c>
    </row>
    <row r="2162" spans="1:9" x14ac:dyDescent="0.3">
      <c r="A2162" s="1">
        <v>46144</v>
      </c>
      <c r="B2162">
        <v>2026</v>
      </c>
      <c r="C2162">
        <v>5</v>
      </c>
      <c r="D2162" t="s">
        <v>50</v>
      </c>
      <c r="E2162" t="s">
        <v>41</v>
      </c>
      <c r="F2162" t="s">
        <v>20</v>
      </c>
      <c r="G2162" t="s">
        <v>21</v>
      </c>
      <c r="H2162">
        <v>2</v>
      </c>
      <c r="I2162">
        <v>110000</v>
      </c>
    </row>
    <row r="2163" spans="1:9" x14ac:dyDescent="0.3">
      <c r="A2163" s="1">
        <v>46042</v>
      </c>
      <c r="B2163">
        <v>2026</v>
      </c>
      <c r="C2163">
        <v>1</v>
      </c>
      <c r="D2163" t="s">
        <v>48</v>
      </c>
      <c r="E2163" t="s">
        <v>43</v>
      </c>
      <c r="F2163" t="s">
        <v>20</v>
      </c>
      <c r="G2163" t="s">
        <v>21</v>
      </c>
      <c r="H2163">
        <v>2</v>
      </c>
      <c r="I2163">
        <v>110000</v>
      </c>
    </row>
    <row r="2164" spans="1:9" x14ac:dyDescent="0.3">
      <c r="A2164" s="1">
        <v>46093</v>
      </c>
      <c r="B2164">
        <v>2026</v>
      </c>
      <c r="C2164">
        <v>3</v>
      </c>
      <c r="D2164" t="s">
        <v>49</v>
      </c>
      <c r="E2164" t="s">
        <v>47</v>
      </c>
      <c r="F2164" t="s">
        <v>20</v>
      </c>
      <c r="G2164" t="s">
        <v>21</v>
      </c>
      <c r="H2164">
        <v>3</v>
      </c>
      <c r="I2164">
        <v>165000</v>
      </c>
    </row>
    <row r="2165" spans="1:9" x14ac:dyDescent="0.3">
      <c r="A2165" s="1">
        <v>46303</v>
      </c>
      <c r="B2165">
        <v>2026</v>
      </c>
      <c r="C2165">
        <v>10</v>
      </c>
      <c r="D2165" t="s">
        <v>42</v>
      </c>
      <c r="E2165" t="s">
        <v>43</v>
      </c>
      <c r="F2165" t="s">
        <v>20</v>
      </c>
      <c r="G2165" t="s">
        <v>21</v>
      </c>
      <c r="H2165">
        <v>5</v>
      </c>
      <c r="I2165">
        <v>275000</v>
      </c>
    </row>
    <row r="2166" spans="1:9" x14ac:dyDescent="0.3">
      <c r="A2166" s="1">
        <v>46062</v>
      </c>
      <c r="B2166">
        <v>2026</v>
      </c>
      <c r="C2166">
        <v>2</v>
      </c>
      <c r="D2166" t="s">
        <v>50</v>
      </c>
      <c r="E2166" t="s">
        <v>41</v>
      </c>
      <c r="F2166" t="s">
        <v>20</v>
      </c>
      <c r="G2166" t="s">
        <v>21</v>
      </c>
      <c r="H2166">
        <v>5</v>
      </c>
      <c r="I2166">
        <v>275000</v>
      </c>
    </row>
    <row r="2167" spans="1:9" x14ac:dyDescent="0.3">
      <c r="A2167" s="1">
        <v>46179</v>
      </c>
      <c r="B2167">
        <v>2026</v>
      </c>
      <c r="C2167">
        <v>6</v>
      </c>
      <c r="D2167" t="s">
        <v>49</v>
      </c>
      <c r="E2167" t="s">
        <v>47</v>
      </c>
      <c r="F2167" t="s">
        <v>20</v>
      </c>
      <c r="G2167" t="s">
        <v>21</v>
      </c>
      <c r="H2167">
        <v>5</v>
      </c>
      <c r="I2167">
        <v>275000</v>
      </c>
    </row>
    <row r="2168" spans="1:9" x14ac:dyDescent="0.3">
      <c r="A2168" s="1">
        <v>46061</v>
      </c>
      <c r="B2168">
        <v>2026</v>
      </c>
      <c r="C2168">
        <v>2</v>
      </c>
      <c r="D2168" t="s">
        <v>40</v>
      </c>
      <c r="E2168" t="s">
        <v>41</v>
      </c>
      <c r="F2168" t="s">
        <v>20</v>
      </c>
      <c r="G2168" t="s">
        <v>21</v>
      </c>
      <c r="H2168">
        <v>1</v>
      </c>
      <c r="I2168">
        <v>55000</v>
      </c>
    </row>
    <row r="2169" spans="1:9" x14ac:dyDescent="0.3">
      <c r="A2169" s="1">
        <v>46115</v>
      </c>
      <c r="B2169">
        <v>2026</v>
      </c>
      <c r="C2169">
        <v>4</v>
      </c>
      <c r="D2169" t="s">
        <v>48</v>
      </c>
      <c r="E2169" t="s">
        <v>43</v>
      </c>
      <c r="F2169" t="s">
        <v>20</v>
      </c>
      <c r="G2169" t="s">
        <v>21</v>
      </c>
      <c r="H2169">
        <v>1</v>
      </c>
      <c r="I2169">
        <v>55000</v>
      </c>
    </row>
    <row r="2170" spans="1:9" x14ac:dyDescent="0.3">
      <c r="A2170" s="1">
        <v>46288</v>
      </c>
      <c r="B2170">
        <v>2026</v>
      </c>
      <c r="C2170">
        <v>9</v>
      </c>
      <c r="D2170" t="s">
        <v>42</v>
      </c>
      <c r="E2170" t="s">
        <v>43</v>
      </c>
      <c r="F2170" t="s">
        <v>20</v>
      </c>
      <c r="G2170" t="s">
        <v>21</v>
      </c>
      <c r="H2170">
        <v>2</v>
      </c>
      <c r="I2170">
        <v>110000</v>
      </c>
    </row>
    <row r="2171" spans="1:9" x14ac:dyDescent="0.3">
      <c r="A2171" s="1">
        <v>46270</v>
      </c>
      <c r="B2171">
        <v>2026</v>
      </c>
      <c r="C2171">
        <v>9</v>
      </c>
      <c r="D2171" t="s">
        <v>44</v>
      </c>
      <c r="E2171" t="s">
        <v>45</v>
      </c>
      <c r="F2171" t="s">
        <v>20</v>
      </c>
      <c r="G2171" t="s">
        <v>21</v>
      </c>
      <c r="H2171">
        <v>4</v>
      </c>
      <c r="I2171">
        <v>220000</v>
      </c>
    </row>
    <row r="2172" spans="1:9" x14ac:dyDescent="0.3">
      <c r="A2172" s="1">
        <v>46023</v>
      </c>
      <c r="B2172">
        <v>2026</v>
      </c>
      <c r="C2172">
        <v>1</v>
      </c>
      <c r="D2172" t="s">
        <v>50</v>
      </c>
      <c r="E2172" t="s">
        <v>41</v>
      </c>
      <c r="F2172" t="s">
        <v>20</v>
      </c>
      <c r="G2172" t="s">
        <v>21</v>
      </c>
      <c r="H2172">
        <v>4</v>
      </c>
      <c r="I2172">
        <v>220000</v>
      </c>
    </row>
    <row r="2173" spans="1:9" x14ac:dyDescent="0.3">
      <c r="A2173" s="1">
        <v>46258</v>
      </c>
      <c r="B2173">
        <v>2026</v>
      </c>
      <c r="C2173">
        <v>8</v>
      </c>
      <c r="D2173" t="s">
        <v>46</v>
      </c>
      <c r="E2173" t="s">
        <v>47</v>
      </c>
      <c r="F2173" t="s">
        <v>20</v>
      </c>
      <c r="G2173" t="s">
        <v>21</v>
      </c>
      <c r="H2173">
        <v>1</v>
      </c>
      <c r="I2173">
        <v>55000</v>
      </c>
    </row>
    <row r="2174" spans="1:9" x14ac:dyDescent="0.3">
      <c r="A2174" s="1">
        <v>46204</v>
      </c>
      <c r="B2174">
        <v>2026</v>
      </c>
      <c r="C2174">
        <v>7</v>
      </c>
      <c r="D2174" t="s">
        <v>51</v>
      </c>
      <c r="E2174" t="s">
        <v>45</v>
      </c>
      <c r="F2174" t="s">
        <v>20</v>
      </c>
      <c r="G2174" t="s">
        <v>21</v>
      </c>
      <c r="H2174">
        <v>5</v>
      </c>
      <c r="I2174">
        <v>275000</v>
      </c>
    </row>
    <row r="2175" spans="1:9" x14ac:dyDescent="0.3">
      <c r="A2175" s="1">
        <v>46262</v>
      </c>
      <c r="B2175">
        <v>2026</v>
      </c>
      <c r="C2175">
        <v>8</v>
      </c>
      <c r="D2175" t="s">
        <v>40</v>
      </c>
      <c r="E2175" t="s">
        <v>41</v>
      </c>
      <c r="F2175" t="s">
        <v>20</v>
      </c>
      <c r="G2175" t="s">
        <v>21</v>
      </c>
      <c r="H2175">
        <v>3</v>
      </c>
      <c r="I2175">
        <v>165000</v>
      </c>
    </row>
    <row r="2176" spans="1:9" x14ac:dyDescent="0.3">
      <c r="A2176" s="1">
        <v>46182</v>
      </c>
      <c r="B2176">
        <v>2026</v>
      </c>
      <c r="C2176">
        <v>6</v>
      </c>
      <c r="D2176" t="s">
        <v>40</v>
      </c>
      <c r="E2176" t="s">
        <v>41</v>
      </c>
      <c r="F2176" t="s">
        <v>20</v>
      </c>
      <c r="G2176" t="s">
        <v>21</v>
      </c>
      <c r="H2176">
        <v>1</v>
      </c>
      <c r="I2176">
        <v>55000</v>
      </c>
    </row>
    <row r="2177" spans="1:9" x14ac:dyDescent="0.3">
      <c r="A2177" s="1">
        <v>46166</v>
      </c>
      <c r="B2177">
        <v>2026</v>
      </c>
      <c r="C2177">
        <v>5</v>
      </c>
      <c r="D2177" t="s">
        <v>48</v>
      </c>
      <c r="E2177" t="s">
        <v>43</v>
      </c>
      <c r="F2177" t="s">
        <v>20</v>
      </c>
      <c r="G2177" t="s">
        <v>21</v>
      </c>
      <c r="H2177">
        <v>2</v>
      </c>
      <c r="I2177">
        <v>110000</v>
      </c>
    </row>
    <row r="2178" spans="1:9" x14ac:dyDescent="0.3">
      <c r="A2178" s="1">
        <v>46249</v>
      </c>
      <c r="B2178">
        <v>2026</v>
      </c>
      <c r="C2178">
        <v>8</v>
      </c>
      <c r="D2178" t="s">
        <v>49</v>
      </c>
      <c r="E2178" t="s">
        <v>47</v>
      </c>
      <c r="F2178" t="s">
        <v>20</v>
      </c>
      <c r="G2178" t="s">
        <v>21</v>
      </c>
      <c r="H2178">
        <v>4</v>
      </c>
      <c r="I2178">
        <v>220000</v>
      </c>
    </row>
    <row r="2179" spans="1:9" x14ac:dyDescent="0.3">
      <c r="A2179" s="1">
        <v>46325</v>
      </c>
      <c r="B2179">
        <v>2026</v>
      </c>
      <c r="C2179">
        <v>10</v>
      </c>
      <c r="D2179" t="s">
        <v>44</v>
      </c>
      <c r="E2179" t="s">
        <v>45</v>
      </c>
      <c r="F2179" t="s">
        <v>20</v>
      </c>
      <c r="G2179" t="s">
        <v>21</v>
      </c>
      <c r="H2179">
        <v>5</v>
      </c>
      <c r="I2179">
        <v>275000</v>
      </c>
    </row>
    <row r="2180" spans="1:9" x14ac:dyDescent="0.3">
      <c r="A2180" s="1">
        <v>46090</v>
      </c>
      <c r="B2180">
        <v>2026</v>
      </c>
      <c r="C2180">
        <v>3</v>
      </c>
      <c r="D2180" t="s">
        <v>49</v>
      </c>
      <c r="E2180" t="s">
        <v>47</v>
      </c>
      <c r="F2180" t="s">
        <v>20</v>
      </c>
      <c r="G2180" t="s">
        <v>21</v>
      </c>
      <c r="H2180">
        <v>2</v>
      </c>
      <c r="I2180">
        <v>110000</v>
      </c>
    </row>
    <row r="2181" spans="1:9" x14ac:dyDescent="0.3">
      <c r="A2181" s="1">
        <v>46083</v>
      </c>
      <c r="B2181">
        <v>2026</v>
      </c>
      <c r="C2181">
        <v>3</v>
      </c>
      <c r="D2181" t="s">
        <v>48</v>
      </c>
      <c r="E2181" t="s">
        <v>43</v>
      </c>
      <c r="F2181" t="s">
        <v>20</v>
      </c>
      <c r="G2181" t="s">
        <v>21</v>
      </c>
      <c r="H2181">
        <v>4</v>
      </c>
      <c r="I2181">
        <v>220000</v>
      </c>
    </row>
    <row r="2182" spans="1:9" x14ac:dyDescent="0.3">
      <c r="A2182" s="1">
        <v>46052</v>
      </c>
      <c r="B2182">
        <v>2026</v>
      </c>
      <c r="C2182">
        <v>1</v>
      </c>
      <c r="D2182" t="s">
        <v>51</v>
      </c>
      <c r="E2182" t="s">
        <v>45</v>
      </c>
      <c r="F2182" t="s">
        <v>20</v>
      </c>
      <c r="G2182" t="s">
        <v>21</v>
      </c>
      <c r="H2182">
        <v>4</v>
      </c>
      <c r="I2182">
        <v>220000</v>
      </c>
    </row>
    <row r="2183" spans="1:9" x14ac:dyDescent="0.3">
      <c r="A2183" s="1">
        <v>46076</v>
      </c>
      <c r="B2183">
        <v>2026</v>
      </c>
      <c r="C2183">
        <v>2</v>
      </c>
      <c r="D2183" t="s">
        <v>44</v>
      </c>
      <c r="E2183" t="s">
        <v>45</v>
      </c>
      <c r="F2183" t="s">
        <v>20</v>
      </c>
      <c r="G2183" t="s">
        <v>21</v>
      </c>
      <c r="H2183">
        <v>3</v>
      </c>
      <c r="I2183">
        <v>165000</v>
      </c>
    </row>
    <row r="2184" spans="1:9" x14ac:dyDescent="0.3">
      <c r="A2184" s="1">
        <v>46193</v>
      </c>
      <c r="B2184">
        <v>2026</v>
      </c>
      <c r="C2184">
        <v>6</v>
      </c>
      <c r="D2184" t="s">
        <v>42</v>
      </c>
      <c r="E2184" t="s">
        <v>43</v>
      </c>
      <c r="F2184" t="s">
        <v>20</v>
      </c>
      <c r="G2184" t="s">
        <v>21</v>
      </c>
      <c r="H2184">
        <v>3</v>
      </c>
      <c r="I2184">
        <v>165000</v>
      </c>
    </row>
    <row r="2185" spans="1:9" x14ac:dyDescent="0.3">
      <c r="A2185" s="1">
        <v>46098</v>
      </c>
      <c r="B2185">
        <v>2026</v>
      </c>
      <c r="C2185">
        <v>3</v>
      </c>
      <c r="D2185" t="s">
        <v>49</v>
      </c>
      <c r="E2185" t="s">
        <v>47</v>
      </c>
      <c r="F2185" t="s">
        <v>20</v>
      </c>
      <c r="G2185" t="s">
        <v>21</v>
      </c>
      <c r="H2185">
        <v>2</v>
      </c>
      <c r="I2185">
        <v>110000</v>
      </c>
    </row>
    <row r="2186" spans="1:9" x14ac:dyDescent="0.3">
      <c r="A2186" s="1">
        <v>46177</v>
      </c>
      <c r="B2186">
        <v>2026</v>
      </c>
      <c r="C2186">
        <v>6</v>
      </c>
      <c r="D2186" t="s">
        <v>44</v>
      </c>
      <c r="E2186" t="s">
        <v>45</v>
      </c>
      <c r="F2186" t="s">
        <v>20</v>
      </c>
      <c r="G2186" t="s">
        <v>21</v>
      </c>
      <c r="H2186">
        <v>3</v>
      </c>
      <c r="I2186">
        <v>165000</v>
      </c>
    </row>
    <row r="2187" spans="1:9" x14ac:dyDescent="0.3">
      <c r="A2187" s="1">
        <v>46175</v>
      </c>
      <c r="B2187">
        <v>2026</v>
      </c>
      <c r="C2187">
        <v>6</v>
      </c>
      <c r="D2187" t="s">
        <v>46</v>
      </c>
      <c r="E2187" t="s">
        <v>47</v>
      </c>
      <c r="F2187" t="s">
        <v>20</v>
      </c>
      <c r="G2187" t="s">
        <v>21</v>
      </c>
      <c r="H2187">
        <v>3</v>
      </c>
      <c r="I2187">
        <v>165000</v>
      </c>
    </row>
    <row r="2188" spans="1:9" x14ac:dyDescent="0.3">
      <c r="A2188" s="1">
        <v>46134</v>
      </c>
      <c r="B2188">
        <v>2026</v>
      </c>
      <c r="C2188">
        <v>4</v>
      </c>
      <c r="D2188" t="s">
        <v>51</v>
      </c>
      <c r="E2188" t="s">
        <v>45</v>
      </c>
      <c r="F2188" t="s">
        <v>20</v>
      </c>
      <c r="G2188" t="s">
        <v>21</v>
      </c>
      <c r="H2188">
        <v>5</v>
      </c>
      <c r="I2188">
        <v>275000</v>
      </c>
    </row>
    <row r="2189" spans="1:9" x14ac:dyDescent="0.3">
      <c r="A2189" s="1">
        <v>46144</v>
      </c>
      <c r="B2189">
        <v>2026</v>
      </c>
      <c r="C2189">
        <v>5</v>
      </c>
      <c r="D2189" t="s">
        <v>50</v>
      </c>
      <c r="E2189" t="s">
        <v>41</v>
      </c>
      <c r="F2189" t="s">
        <v>20</v>
      </c>
      <c r="G2189" t="s">
        <v>21</v>
      </c>
      <c r="H2189">
        <v>4</v>
      </c>
      <c r="I2189">
        <v>220000</v>
      </c>
    </row>
    <row r="2190" spans="1:9" x14ac:dyDescent="0.3">
      <c r="A2190" s="1">
        <v>46282</v>
      </c>
      <c r="B2190">
        <v>2026</v>
      </c>
      <c r="C2190">
        <v>9</v>
      </c>
      <c r="D2190" t="s">
        <v>50</v>
      </c>
      <c r="E2190" t="s">
        <v>41</v>
      </c>
      <c r="F2190" t="s">
        <v>20</v>
      </c>
      <c r="G2190" t="s">
        <v>21</v>
      </c>
      <c r="H2190">
        <v>3</v>
      </c>
      <c r="I2190">
        <v>165000</v>
      </c>
    </row>
    <row r="2191" spans="1:9" x14ac:dyDescent="0.3">
      <c r="A2191" s="1">
        <v>46032</v>
      </c>
      <c r="B2191">
        <v>2026</v>
      </c>
      <c r="C2191">
        <v>1</v>
      </c>
      <c r="D2191" t="s">
        <v>48</v>
      </c>
      <c r="E2191" t="s">
        <v>43</v>
      </c>
      <c r="F2191" t="s">
        <v>20</v>
      </c>
      <c r="G2191" t="s">
        <v>21</v>
      </c>
      <c r="H2191">
        <v>5</v>
      </c>
      <c r="I2191">
        <v>275000</v>
      </c>
    </row>
    <row r="2192" spans="1:9" x14ac:dyDescent="0.3">
      <c r="A2192" s="1">
        <v>46305</v>
      </c>
      <c r="B2192">
        <v>2026</v>
      </c>
      <c r="C2192">
        <v>10</v>
      </c>
      <c r="D2192" t="s">
        <v>50</v>
      </c>
      <c r="E2192" t="s">
        <v>41</v>
      </c>
      <c r="F2192" t="s">
        <v>20</v>
      </c>
      <c r="G2192" t="s">
        <v>21</v>
      </c>
      <c r="H2192">
        <v>4</v>
      </c>
      <c r="I2192">
        <v>220000</v>
      </c>
    </row>
    <row r="2193" spans="1:9" x14ac:dyDescent="0.3">
      <c r="A2193" s="1">
        <v>46263</v>
      </c>
      <c r="B2193">
        <v>2026</v>
      </c>
      <c r="C2193">
        <v>8</v>
      </c>
      <c r="D2193" t="s">
        <v>50</v>
      </c>
      <c r="E2193" t="s">
        <v>41</v>
      </c>
      <c r="F2193" t="s">
        <v>20</v>
      </c>
      <c r="G2193" t="s">
        <v>21</v>
      </c>
      <c r="H2193">
        <v>4</v>
      </c>
      <c r="I2193">
        <v>220000</v>
      </c>
    </row>
    <row r="2194" spans="1:9" x14ac:dyDescent="0.3">
      <c r="A2194" s="1">
        <v>46059</v>
      </c>
      <c r="B2194">
        <v>2026</v>
      </c>
      <c r="C2194">
        <v>2</v>
      </c>
      <c r="D2194" t="s">
        <v>48</v>
      </c>
      <c r="E2194" t="s">
        <v>43</v>
      </c>
      <c r="F2194" t="s">
        <v>20</v>
      </c>
      <c r="G2194" t="s">
        <v>21</v>
      </c>
      <c r="H2194">
        <v>5</v>
      </c>
      <c r="I2194">
        <v>275000</v>
      </c>
    </row>
    <row r="2195" spans="1:9" x14ac:dyDescent="0.3">
      <c r="A2195" s="1">
        <v>46035</v>
      </c>
      <c r="B2195">
        <v>2026</v>
      </c>
      <c r="C2195">
        <v>1</v>
      </c>
      <c r="D2195" t="s">
        <v>50</v>
      </c>
      <c r="E2195" t="s">
        <v>41</v>
      </c>
      <c r="F2195" t="s">
        <v>20</v>
      </c>
      <c r="G2195" t="s">
        <v>21</v>
      </c>
      <c r="H2195">
        <v>3</v>
      </c>
      <c r="I2195">
        <v>165000</v>
      </c>
    </row>
    <row r="2196" spans="1:9" x14ac:dyDescent="0.3">
      <c r="A2196" s="1">
        <v>46029</v>
      </c>
      <c r="B2196">
        <v>2026</v>
      </c>
      <c r="C2196">
        <v>1</v>
      </c>
      <c r="D2196" t="s">
        <v>42</v>
      </c>
      <c r="E2196" t="s">
        <v>43</v>
      </c>
      <c r="F2196" t="s">
        <v>20</v>
      </c>
      <c r="G2196" t="s">
        <v>21</v>
      </c>
      <c r="H2196">
        <v>1</v>
      </c>
      <c r="I2196">
        <v>55000</v>
      </c>
    </row>
    <row r="2197" spans="1:9" x14ac:dyDescent="0.3">
      <c r="A2197" s="1">
        <v>46053</v>
      </c>
      <c r="B2197">
        <v>2026</v>
      </c>
      <c r="C2197">
        <v>1</v>
      </c>
      <c r="D2197" t="s">
        <v>46</v>
      </c>
      <c r="E2197" t="s">
        <v>47</v>
      </c>
      <c r="F2197" t="s">
        <v>20</v>
      </c>
      <c r="G2197" t="s">
        <v>21</v>
      </c>
      <c r="H2197">
        <v>1</v>
      </c>
      <c r="I2197">
        <v>55000</v>
      </c>
    </row>
    <row r="2198" spans="1:9" x14ac:dyDescent="0.3">
      <c r="A2198" s="1">
        <v>46093</v>
      </c>
      <c r="B2198">
        <v>2026</v>
      </c>
      <c r="C2198">
        <v>3</v>
      </c>
      <c r="D2198" t="s">
        <v>51</v>
      </c>
      <c r="E2198" t="s">
        <v>45</v>
      </c>
      <c r="F2198" t="s">
        <v>20</v>
      </c>
      <c r="G2198" t="s">
        <v>21</v>
      </c>
      <c r="H2198">
        <v>3</v>
      </c>
      <c r="I2198">
        <v>165000</v>
      </c>
    </row>
    <row r="2199" spans="1:9" x14ac:dyDescent="0.3">
      <c r="A2199" s="1">
        <v>46160</v>
      </c>
      <c r="B2199">
        <v>2026</v>
      </c>
      <c r="C2199">
        <v>5</v>
      </c>
      <c r="D2199" t="s">
        <v>48</v>
      </c>
      <c r="E2199" t="s">
        <v>43</v>
      </c>
      <c r="F2199" t="s">
        <v>20</v>
      </c>
      <c r="G2199" t="s">
        <v>21</v>
      </c>
      <c r="H2199">
        <v>2</v>
      </c>
      <c r="I2199">
        <v>110000</v>
      </c>
    </row>
    <row r="2200" spans="1:9" x14ac:dyDescent="0.3">
      <c r="A2200" s="1">
        <v>46078</v>
      </c>
      <c r="B2200">
        <v>2026</v>
      </c>
      <c r="C2200">
        <v>2</v>
      </c>
      <c r="D2200" t="s">
        <v>50</v>
      </c>
      <c r="E2200" t="s">
        <v>41</v>
      </c>
      <c r="F2200" t="s">
        <v>20</v>
      </c>
      <c r="G2200" t="s">
        <v>21</v>
      </c>
      <c r="H2200">
        <v>5</v>
      </c>
      <c r="I2200">
        <v>275000</v>
      </c>
    </row>
    <row r="2201" spans="1:9" x14ac:dyDescent="0.3">
      <c r="A2201" s="1">
        <v>46177</v>
      </c>
      <c r="B2201">
        <v>2026</v>
      </c>
      <c r="C2201">
        <v>6</v>
      </c>
      <c r="D2201" t="s">
        <v>49</v>
      </c>
      <c r="E2201" t="s">
        <v>47</v>
      </c>
      <c r="F2201" t="s">
        <v>20</v>
      </c>
      <c r="G2201" t="s">
        <v>21</v>
      </c>
      <c r="H2201">
        <v>1</v>
      </c>
      <c r="I2201">
        <v>55000</v>
      </c>
    </row>
    <row r="2202" spans="1:9" x14ac:dyDescent="0.3">
      <c r="A2202" s="1">
        <v>46182</v>
      </c>
      <c r="B2202">
        <v>2026</v>
      </c>
      <c r="C2202">
        <v>6</v>
      </c>
      <c r="D2202" t="s">
        <v>49</v>
      </c>
      <c r="E2202" t="s">
        <v>47</v>
      </c>
      <c r="F2202" t="s">
        <v>20</v>
      </c>
      <c r="G2202" t="s">
        <v>21</v>
      </c>
      <c r="H2202">
        <v>1</v>
      </c>
      <c r="I2202">
        <v>55000</v>
      </c>
    </row>
    <row r="2203" spans="1:9" x14ac:dyDescent="0.3">
      <c r="A2203" s="1">
        <v>46102</v>
      </c>
      <c r="B2203">
        <v>2026</v>
      </c>
      <c r="C2203">
        <v>3</v>
      </c>
      <c r="D2203" t="s">
        <v>40</v>
      </c>
      <c r="E2203" t="s">
        <v>41</v>
      </c>
      <c r="F2203" t="s">
        <v>20</v>
      </c>
      <c r="G2203" t="s">
        <v>21</v>
      </c>
      <c r="H2203">
        <v>2</v>
      </c>
      <c r="I2203">
        <v>110000</v>
      </c>
    </row>
    <row r="2204" spans="1:9" x14ac:dyDescent="0.3">
      <c r="A2204" s="1">
        <v>46313</v>
      </c>
      <c r="B2204">
        <v>2026</v>
      </c>
      <c r="C2204">
        <v>10</v>
      </c>
      <c r="D2204" t="s">
        <v>40</v>
      </c>
      <c r="E2204" t="s">
        <v>41</v>
      </c>
      <c r="F2204" t="s">
        <v>20</v>
      </c>
      <c r="G2204" t="s">
        <v>21</v>
      </c>
      <c r="H2204">
        <v>5</v>
      </c>
      <c r="I2204">
        <v>275000</v>
      </c>
    </row>
    <row r="2205" spans="1:9" x14ac:dyDescent="0.3">
      <c r="A2205" s="1">
        <v>46144</v>
      </c>
      <c r="B2205">
        <v>2026</v>
      </c>
      <c r="C2205">
        <v>5</v>
      </c>
      <c r="D2205" t="s">
        <v>48</v>
      </c>
      <c r="E2205" t="s">
        <v>43</v>
      </c>
      <c r="F2205" t="s">
        <v>20</v>
      </c>
      <c r="G2205" t="s">
        <v>21</v>
      </c>
      <c r="H2205">
        <v>5</v>
      </c>
      <c r="I2205">
        <v>275000</v>
      </c>
    </row>
    <row r="2206" spans="1:9" x14ac:dyDescent="0.3">
      <c r="A2206" s="1">
        <v>46080</v>
      </c>
      <c r="B2206">
        <v>2026</v>
      </c>
      <c r="C2206">
        <v>2</v>
      </c>
      <c r="D2206" t="s">
        <v>40</v>
      </c>
      <c r="E2206" t="s">
        <v>41</v>
      </c>
      <c r="F2206" t="s">
        <v>20</v>
      </c>
      <c r="G2206" t="s">
        <v>21</v>
      </c>
      <c r="H2206">
        <v>5</v>
      </c>
      <c r="I2206">
        <v>275000</v>
      </c>
    </row>
    <row r="2207" spans="1:9" x14ac:dyDescent="0.3">
      <c r="A2207" s="1">
        <v>46120</v>
      </c>
      <c r="B2207">
        <v>2026</v>
      </c>
      <c r="C2207">
        <v>4</v>
      </c>
      <c r="D2207" t="s">
        <v>49</v>
      </c>
      <c r="E2207" t="s">
        <v>47</v>
      </c>
      <c r="F2207" t="s">
        <v>20</v>
      </c>
      <c r="G2207" t="s">
        <v>21</v>
      </c>
      <c r="H2207">
        <v>4</v>
      </c>
      <c r="I2207">
        <v>220000</v>
      </c>
    </row>
    <row r="2208" spans="1:9" x14ac:dyDescent="0.3">
      <c r="A2208" s="1">
        <v>46257</v>
      </c>
      <c r="B2208">
        <v>2026</v>
      </c>
      <c r="C2208">
        <v>8</v>
      </c>
      <c r="D2208" t="s">
        <v>42</v>
      </c>
      <c r="E2208" t="s">
        <v>43</v>
      </c>
      <c r="F2208" t="s">
        <v>20</v>
      </c>
      <c r="G2208" t="s">
        <v>21</v>
      </c>
      <c r="H2208">
        <v>4</v>
      </c>
      <c r="I2208">
        <v>220000</v>
      </c>
    </row>
    <row r="2209" spans="1:9" x14ac:dyDescent="0.3">
      <c r="A2209" s="1">
        <v>46068</v>
      </c>
      <c r="B2209">
        <v>2026</v>
      </c>
      <c r="C2209">
        <v>2</v>
      </c>
      <c r="D2209" t="s">
        <v>40</v>
      </c>
      <c r="E2209" t="s">
        <v>41</v>
      </c>
      <c r="F2209" t="s">
        <v>20</v>
      </c>
      <c r="G2209" t="s">
        <v>21</v>
      </c>
      <c r="H2209">
        <v>4</v>
      </c>
      <c r="I2209">
        <v>220000</v>
      </c>
    </row>
    <row r="2210" spans="1:9" x14ac:dyDescent="0.3">
      <c r="A2210" s="1">
        <v>46308</v>
      </c>
      <c r="B2210">
        <v>2026</v>
      </c>
      <c r="C2210">
        <v>10</v>
      </c>
      <c r="D2210" t="s">
        <v>42</v>
      </c>
      <c r="E2210" t="s">
        <v>43</v>
      </c>
      <c r="F2210" t="s">
        <v>20</v>
      </c>
      <c r="G2210" t="s">
        <v>21</v>
      </c>
      <c r="H2210">
        <v>5</v>
      </c>
      <c r="I2210">
        <v>275000</v>
      </c>
    </row>
    <row r="2211" spans="1:9" x14ac:dyDescent="0.3">
      <c r="A2211" s="1">
        <v>46085</v>
      </c>
      <c r="B2211">
        <v>2026</v>
      </c>
      <c r="C2211">
        <v>3</v>
      </c>
      <c r="D2211" t="s">
        <v>49</v>
      </c>
      <c r="E2211" t="s">
        <v>47</v>
      </c>
      <c r="F2211" t="s">
        <v>20</v>
      </c>
      <c r="G2211" t="s">
        <v>21</v>
      </c>
      <c r="H2211">
        <v>4</v>
      </c>
      <c r="I2211">
        <v>220000</v>
      </c>
    </row>
    <row r="2212" spans="1:9" x14ac:dyDescent="0.3">
      <c r="A2212" s="1">
        <v>46311</v>
      </c>
      <c r="B2212">
        <v>2026</v>
      </c>
      <c r="C2212">
        <v>10</v>
      </c>
      <c r="D2212" t="s">
        <v>44</v>
      </c>
      <c r="E2212" t="s">
        <v>45</v>
      </c>
      <c r="F2212" t="s">
        <v>20</v>
      </c>
      <c r="G2212" t="s">
        <v>21</v>
      </c>
      <c r="H2212">
        <v>2</v>
      </c>
      <c r="I2212">
        <v>110000</v>
      </c>
    </row>
    <row r="2213" spans="1:9" x14ac:dyDescent="0.3">
      <c r="A2213" s="1">
        <v>46044</v>
      </c>
      <c r="B2213">
        <v>2026</v>
      </c>
      <c r="C2213">
        <v>1</v>
      </c>
      <c r="D2213" t="s">
        <v>49</v>
      </c>
      <c r="E2213" t="s">
        <v>47</v>
      </c>
      <c r="F2213" t="s">
        <v>20</v>
      </c>
      <c r="G2213" t="s">
        <v>21</v>
      </c>
      <c r="H2213">
        <v>3</v>
      </c>
      <c r="I2213">
        <v>165000</v>
      </c>
    </row>
    <row r="2214" spans="1:9" x14ac:dyDescent="0.3">
      <c r="A2214" s="1">
        <v>46204</v>
      </c>
      <c r="B2214">
        <v>2026</v>
      </c>
      <c r="C2214">
        <v>7</v>
      </c>
      <c r="D2214" t="s">
        <v>46</v>
      </c>
      <c r="E2214" t="s">
        <v>47</v>
      </c>
      <c r="F2214" t="s">
        <v>20</v>
      </c>
      <c r="G2214" t="s">
        <v>21</v>
      </c>
      <c r="H2214">
        <v>4</v>
      </c>
      <c r="I2214">
        <v>220000</v>
      </c>
    </row>
    <row r="2215" spans="1:9" x14ac:dyDescent="0.3">
      <c r="A2215" s="1">
        <v>46325</v>
      </c>
      <c r="B2215">
        <v>2026</v>
      </c>
      <c r="C2215">
        <v>10</v>
      </c>
      <c r="D2215" t="s">
        <v>42</v>
      </c>
      <c r="E2215" t="s">
        <v>43</v>
      </c>
      <c r="F2215" t="s">
        <v>20</v>
      </c>
      <c r="G2215" t="s">
        <v>21</v>
      </c>
      <c r="H2215">
        <v>3</v>
      </c>
      <c r="I2215">
        <v>165000</v>
      </c>
    </row>
    <row r="2216" spans="1:9" x14ac:dyDescent="0.3">
      <c r="A2216" s="1">
        <v>46072</v>
      </c>
      <c r="B2216">
        <v>2026</v>
      </c>
      <c r="C2216">
        <v>2</v>
      </c>
      <c r="D2216" t="s">
        <v>40</v>
      </c>
      <c r="E2216" t="s">
        <v>41</v>
      </c>
      <c r="F2216" t="s">
        <v>20</v>
      </c>
      <c r="G2216" t="s">
        <v>21</v>
      </c>
      <c r="H2216">
        <v>1</v>
      </c>
      <c r="I2216">
        <v>55000</v>
      </c>
    </row>
    <row r="2217" spans="1:9" x14ac:dyDescent="0.3">
      <c r="A2217" s="1">
        <v>46146</v>
      </c>
      <c r="B2217">
        <v>2026</v>
      </c>
      <c r="C2217">
        <v>5</v>
      </c>
      <c r="D2217" t="s">
        <v>42</v>
      </c>
      <c r="E2217" t="s">
        <v>43</v>
      </c>
      <c r="F2217" t="s">
        <v>20</v>
      </c>
      <c r="G2217" t="s">
        <v>21</v>
      </c>
      <c r="H2217">
        <v>4</v>
      </c>
      <c r="I2217">
        <v>220000</v>
      </c>
    </row>
    <row r="2218" spans="1:9" x14ac:dyDescent="0.3">
      <c r="A2218" s="1">
        <v>46157</v>
      </c>
      <c r="B2218">
        <v>2026</v>
      </c>
      <c r="C2218">
        <v>5</v>
      </c>
      <c r="D2218" t="s">
        <v>50</v>
      </c>
      <c r="E2218" t="s">
        <v>41</v>
      </c>
      <c r="F2218" t="s">
        <v>20</v>
      </c>
      <c r="G2218" t="s">
        <v>21</v>
      </c>
      <c r="H2218">
        <v>5</v>
      </c>
      <c r="I2218">
        <v>275000</v>
      </c>
    </row>
    <row r="2219" spans="1:9" x14ac:dyDescent="0.3">
      <c r="A2219" s="1">
        <v>46027</v>
      </c>
      <c r="B2219">
        <v>2026</v>
      </c>
      <c r="C2219">
        <v>1</v>
      </c>
      <c r="D2219" t="s">
        <v>40</v>
      </c>
      <c r="E2219" t="s">
        <v>41</v>
      </c>
      <c r="F2219" t="s">
        <v>20</v>
      </c>
      <c r="G2219" t="s">
        <v>21</v>
      </c>
      <c r="H2219">
        <v>1</v>
      </c>
      <c r="I2219">
        <v>55000</v>
      </c>
    </row>
    <row r="2220" spans="1:9" x14ac:dyDescent="0.3">
      <c r="A2220" s="1">
        <v>46072</v>
      </c>
      <c r="B2220">
        <v>2026</v>
      </c>
      <c r="C2220">
        <v>2</v>
      </c>
      <c r="D2220" t="s">
        <v>48</v>
      </c>
      <c r="E2220" t="s">
        <v>43</v>
      </c>
      <c r="F2220" t="s">
        <v>20</v>
      </c>
      <c r="G2220" t="s">
        <v>21</v>
      </c>
      <c r="H2220">
        <v>3</v>
      </c>
      <c r="I2220">
        <v>165000</v>
      </c>
    </row>
    <row r="2221" spans="1:9" x14ac:dyDescent="0.3">
      <c r="A2221" s="1">
        <v>46133</v>
      </c>
      <c r="B2221">
        <v>2026</v>
      </c>
      <c r="C2221">
        <v>4</v>
      </c>
      <c r="D2221" t="s">
        <v>42</v>
      </c>
      <c r="E2221" t="s">
        <v>43</v>
      </c>
      <c r="F2221" t="s">
        <v>20</v>
      </c>
      <c r="G2221" t="s">
        <v>21</v>
      </c>
      <c r="H2221">
        <v>1</v>
      </c>
      <c r="I2221">
        <v>55000</v>
      </c>
    </row>
    <row r="2222" spans="1:9" x14ac:dyDescent="0.3">
      <c r="A2222" s="1">
        <v>46238</v>
      </c>
      <c r="B2222">
        <v>2026</v>
      </c>
      <c r="C2222">
        <v>8</v>
      </c>
      <c r="D2222" t="s">
        <v>46</v>
      </c>
      <c r="E2222" t="s">
        <v>47</v>
      </c>
      <c r="F2222" t="s">
        <v>20</v>
      </c>
      <c r="G2222" t="s">
        <v>21</v>
      </c>
      <c r="H2222">
        <v>4</v>
      </c>
      <c r="I2222">
        <v>220000</v>
      </c>
    </row>
    <row r="2223" spans="1:9" x14ac:dyDescent="0.3">
      <c r="A2223" s="1">
        <v>46162</v>
      </c>
      <c r="B2223">
        <v>2026</v>
      </c>
      <c r="C2223">
        <v>5</v>
      </c>
      <c r="D2223" t="s">
        <v>44</v>
      </c>
      <c r="E2223" t="s">
        <v>45</v>
      </c>
      <c r="F2223" t="s">
        <v>20</v>
      </c>
      <c r="G2223" t="s">
        <v>21</v>
      </c>
      <c r="H2223">
        <v>5</v>
      </c>
      <c r="I2223">
        <v>275000</v>
      </c>
    </row>
    <row r="2224" spans="1:9" x14ac:dyDescent="0.3">
      <c r="A2224" s="1">
        <v>46256</v>
      </c>
      <c r="B2224">
        <v>2026</v>
      </c>
      <c r="C2224">
        <v>8</v>
      </c>
      <c r="D2224" t="s">
        <v>50</v>
      </c>
      <c r="E2224" t="s">
        <v>41</v>
      </c>
      <c r="F2224" t="s">
        <v>20</v>
      </c>
      <c r="G2224" t="s">
        <v>21</v>
      </c>
      <c r="H2224">
        <v>4</v>
      </c>
      <c r="I2224">
        <v>220000</v>
      </c>
    </row>
    <row r="2225" spans="1:9" x14ac:dyDescent="0.3">
      <c r="A2225" s="1">
        <v>46269</v>
      </c>
      <c r="B2225">
        <v>2026</v>
      </c>
      <c r="C2225">
        <v>9</v>
      </c>
      <c r="D2225" t="s">
        <v>44</v>
      </c>
      <c r="E2225" t="s">
        <v>45</v>
      </c>
      <c r="F2225" t="s">
        <v>20</v>
      </c>
      <c r="G2225" t="s">
        <v>21</v>
      </c>
      <c r="H2225">
        <v>1</v>
      </c>
      <c r="I2225">
        <v>55000</v>
      </c>
    </row>
    <row r="2226" spans="1:9" x14ac:dyDescent="0.3">
      <c r="A2226" s="1">
        <v>46257</v>
      </c>
      <c r="B2226">
        <v>2026</v>
      </c>
      <c r="C2226">
        <v>8</v>
      </c>
      <c r="D2226" t="s">
        <v>50</v>
      </c>
      <c r="E2226" t="s">
        <v>41</v>
      </c>
      <c r="F2226" t="s">
        <v>20</v>
      </c>
      <c r="G2226" t="s">
        <v>21</v>
      </c>
      <c r="H2226">
        <v>4</v>
      </c>
      <c r="I2226">
        <v>220000</v>
      </c>
    </row>
    <row r="2227" spans="1:9" x14ac:dyDescent="0.3">
      <c r="A2227" s="1">
        <v>46106</v>
      </c>
      <c r="B2227">
        <v>2026</v>
      </c>
      <c r="C2227">
        <v>3</v>
      </c>
      <c r="D2227" t="s">
        <v>50</v>
      </c>
      <c r="E2227" t="s">
        <v>41</v>
      </c>
      <c r="F2227" t="s">
        <v>20</v>
      </c>
      <c r="G2227" t="s">
        <v>21</v>
      </c>
      <c r="H2227">
        <v>1</v>
      </c>
      <c r="I2227">
        <v>55000</v>
      </c>
    </row>
    <row r="2228" spans="1:9" x14ac:dyDescent="0.3">
      <c r="A2228" s="1">
        <v>46162</v>
      </c>
      <c r="B2228">
        <v>2026</v>
      </c>
      <c r="C2228">
        <v>5</v>
      </c>
      <c r="D2228" t="s">
        <v>51</v>
      </c>
      <c r="E2228" t="s">
        <v>45</v>
      </c>
      <c r="F2228" t="s">
        <v>20</v>
      </c>
      <c r="G2228" t="s">
        <v>21</v>
      </c>
      <c r="H2228">
        <v>3</v>
      </c>
      <c r="I2228">
        <v>165000</v>
      </c>
    </row>
    <row r="2229" spans="1:9" x14ac:dyDescent="0.3">
      <c r="A2229" s="1">
        <v>46144</v>
      </c>
      <c r="B2229">
        <v>2026</v>
      </c>
      <c r="C2229">
        <v>5</v>
      </c>
      <c r="D2229" t="s">
        <v>46</v>
      </c>
      <c r="E2229" t="s">
        <v>47</v>
      </c>
      <c r="F2229" t="s">
        <v>20</v>
      </c>
      <c r="G2229" t="s">
        <v>21</v>
      </c>
      <c r="H2229">
        <v>1</v>
      </c>
      <c r="I2229">
        <v>55000</v>
      </c>
    </row>
    <row r="2230" spans="1:9" x14ac:dyDescent="0.3">
      <c r="A2230" s="1">
        <v>46286</v>
      </c>
      <c r="B2230">
        <v>2026</v>
      </c>
      <c r="C2230">
        <v>9</v>
      </c>
      <c r="D2230" t="s">
        <v>40</v>
      </c>
      <c r="E2230" t="s">
        <v>41</v>
      </c>
      <c r="F2230" t="s">
        <v>20</v>
      </c>
      <c r="G2230" t="s">
        <v>21</v>
      </c>
      <c r="H2230">
        <v>2</v>
      </c>
      <c r="I2230">
        <v>110000</v>
      </c>
    </row>
    <row r="2231" spans="1:9" x14ac:dyDescent="0.3">
      <c r="A2231" s="1">
        <v>46283</v>
      </c>
      <c r="B2231">
        <v>2026</v>
      </c>
      <c r="C2231">
        <v>9</v>
      </c>
      <c r="D2231" t="s">
        <v>44</v>
      </c>
      <c r="E2231" t="s">
        <v>45</v>
      </c>
      <c r="F2231" t="s">
        <v>20</v>
      </c>
      <c r="G2231" t="s">
        <v>21</v>
      </c>
      <c r="H2231">
        <v>4</v>
      </c>
      <c r="I2231">
        <v>220000</v>
      </c>
    </row>
    <row r="2232" spans="1:9" x14ac:dyDescent="0.3">
      <c r="A2232" s="1">
        <v>46237</v>
      </c>
      <c r="B2232">
        <v>2026</v>
      </c>
      <c r="C2232">
        <v>8</v>
      </c>
      <c r="D2232" t="s">
        <v>44</v>
      </c>
      <c r="E2232" t="s">
        <v>45</v>
      </c>
      <c r="F2232" t="s">
        <v>20</v>
      </c>
      <c r="G2232" t="s">
        <v>21</v>
      </c>
      <c r="H2232">
        <v>1</v>
      </c>
      <c r="I2232">
        <v>55000</v>
      </c>
    </row>
    <row r="2233" spans="1:9" x14ac:dyDescent="0.3">
      <c r="A2233" s="1">
        <v>46164</v>
      </c>
      <c r="B2233">
        <v>2026</v>
      </c>
      <c r="C2233">
        <v>5</v>
      </c>
      <c r="D2233" t="s">
        <v>42</v>
      </c>
      <c r="E2233" t="s">
        <v>43</v>
      </c>
      <c r="F2233" t="s">
        <v>20</v>
      </c>
      <c r="G2233" t="s">
        <v>21</v>
      </c>
      <c r="H2233">
        <v>1</v>
      </c>
      <c r="I2233">
        <v>55000</v>
      </c>
    </row>
    <row r="2234" spans="1:9" x14ac:dyDescent="0.3">
      <c r="A2234" s="1">
        <v>46246</v>
      </c>
      <c r="B2234">
        <v>2026</v>
      </c>
      <c r="C2234">
        <v>8</v>
      </c>
      <c r="D2234" t="s">
        <v>49</v>
      </c>
      <c r="E2234" t="s">
        <v>47</v>
      </c>
      <c r="F2234" t="s">
        <v>20</v>
      </c>
      <c r="G2234" t="s">
        <v>21</v>
      </c>
      <c r="H2234">
        <v>3</v>
      </c>
      <c r="I2234">
        <v>165000</v>
      </c>
    </row>
    <row r="2235" spans="1:9" x14ac:dyDescent="0.3">
      <c r="A2235" s="1">
        <v>46176</v>
      </c>
      <c r="B2235">
        <v>2026</v>
      </c>
      <c r="C2235">
        <v>6</v>
      </c>
      <c r="D2235" t="s">
        <v>46</v>
      </c>
      <c r="E2235" t="s">
        <v>47</v>
      </c>
      <c r="F2235" t="s">
        <v>20</v>
      </c>
      <c r="G2235" t="s">
        <v>21</v>
      </c>
      <c r="H2235">
        <v>2</v>
      </c>
      <c r="I2235">
        <v>110000</v>
      </c>
    </row>
    <row r="2236" spans="1:9" x14ac:dyDescent="0.3">
      <c r="A2236" s="1">
        <v>46048</v>
      </c>
      <c r="B2236">
        <v>2026</v>
      </c>
      <c r="C2236">
        <v>1</v>
      </c>
      <c r="D2236" t="s">
        <v>50</v>
      </c>
      <c r="E2236" t="s">
        <v>41</v>
      </c>
      <c r="F2236" t="s">
        <v>20</v>
      </c>
      <c r="G2236" t="s">
        <v>21</v>
      </c>
      <c r="H2236">
        <v>3</v>
      </c>
      <c r="I2236">
        <v>165000</v>
      </c>
    </row>
    <row r="2237" spans="1:9" x14ac:dyDescent="0.3">
      <c r="A2237" s="1">
        <v>46276</v>
      </c>
      <c r="B2237">
        <v>2026</v>
      </c>
      <c r="C2237">
        <v>9</v>
      </c>
      <c r="D2237" t="s">
        <v>50</v>
      </c>
      <c r="E2237" t="s">
        <v>41</v>
      </c>
      <c r="F2237" t="s">
        <v>20</v>
      </c>
      <c r="G2237" t="s">
        <v>21</v>
      </c>
      <c r="H2237">
        <v>5</v>
      </c>
      <c r="I2237">
        <v>275000</v>
      </c>
    </row>
    <row r="2238" spans="1:9" x14ac:dyDescent="0.3">
      <c r="A2238" s="1">
        <v>46032</v>
      </c>
      <c r="B2238">
        <v>2026</v>
      </c>
      <c r="C2238">
        <v>1</v>
      </c>
      <c r="D2238" t="s">
        <v>42</v>
      </c>
      <c r="E2238" t="s">
        <v>43</v>
      </c>
      <c r="F2238" t="s">
        <v>20</v>
      </c>
      <c r="G2238" t="s">
        <v>21</v>
      </c>
      <c r="H2238">
        <v>3</v>
      </c>
      <c r="I2238">
        <v>165000</v>
      </c>
    </row>
    <row r="2239" spans="1:9" x14ac:dyDescent="0.3">
      <c r="A2239" s="1">
        <v>46175</v>
      </c>
      <c r="B2239">
        <v>2026</v>
      </c>
      <c r="C2239">
        <v>6</v>
      </c>
      <c r="D2239" t="s">
        <v>40</v>
      </c>
      <c r="E2239" t="s">
        <v>41</v>
      </c>
      <c r="F2239" t="s">
        <v>20</v>
      </c>
      <c r="G2239" t="s">
        <v>21</v>
      </c>
      <c r="H2239">
        <v>5</v>
      </c>
      <c r="I2239">
        <v>275000</v>
      </c>
    </row>
    <row r="2240" spans="1:9" x14ac:dyDescent="0.3">
      <c r="A2240" s="1">
        <v>46307</v>
      </c>
      <c r="B2240">
        <v>2026</v>
      </c>
      <c r="C2240">
        <v>10</v>
      </c>
      <c r="D2240" t="s">
        <v>44</v>
      </c>
      <c r="E2240" t="s">
        <v>45</v>
      </c>
      <c r="F2240" t="s">
        <v>20</v>
      </c>
      <c r="G2240" t="s">
        <v>21</v>
      </c>
      <c r="H2240">
        <v>1</v>
      </c>
      <c r="I2240">
        <v>55000</v>
      </c>
    </row>
    <row r="2241" spans="1:9" x14ac:dyDescent="0.3">
      <c r="A2241" s="1">
        <v>46280</v>
      </c>
      <c r="B2241">
        <v>2026</v>
      </c>
      <c r="C2241">
        <v>9</v>
      </c>
      <c r="D2241" t="s">
        <v>40</v>
      </c>
      <c r="E2241" t="s">
        <v>41</v>
      </c>
      <c r="F2241" t="s">
        <v>20</v>
      </c>
      <c r="G2241" t="s">
        <v>21</v>
      </c>
      <c r="H2241">
        <v>2</v>
      </c>
      <c r="I2241">
        <v>110000</v>
      </c>
    </row>
    <row r="2242" spans="1:9" x14ac:dyDescent="0.3">
      <c r="A2242" s="1">
        <v>46159</v>
      </c>
      <c r="B2242">
        <v>2026</v>
      </c>
      <c r="C2242">
        <v>5</v>
      </c>
      <c r="D2242" t="s">
        <v>40</v>
      </c>
      <c r="E2242" t="s">
        <v>41</v>
      </c>
      <c r="F2242" t="s">
        <v>20</v>
      </c>
      <c r="G2242" t="s">
        <v>21</v>
      </c>
      <c r="H2242">
        <v>5</v>
      </c>
      <c r="I2242">
        <v>275000</v>
      </c>
    </row>
    <row r="2243" spans="1:9" x14ac:dyDescent="0.3">
      <c r="A2243" s="1">
        <v>46263</v>
      </c>
      <c r="B2243">
        <v>2026</v>
      </c>
      <c r="C2243">
        <v>8</v>
      </c>
      <c r="D2243" t="s">
        <v>48</v>
      </c>
      <c r="E2243" t="s">
        <v>43</v>
      </c>
      <c r="F2243" t="s">
        <v>20</v>
      </c>
      <c r="G2243" t="s">
        <v>21</v>
      </c>
      <c r="H2243">
        <v>5</v>
      </c>
      <c r="I2243">
        <v>275000</v>
      </c>
    </row>
    <row r="2244" spans="1:9" x14ac:dyDescent="0.3">
      <c r="A2244" s="1">
        <v>46036</v>
      </c>
      <c r="B2244">
        <v>2026</v>
      </c>
      <c r="C2244">
        <v>1</v>
      </c>
      <c r="D2244" t="s">
        <v>50</v>
      </c>
      <c r="E2244" t="s">
        <v>41</v>
      </c>
      <c r="F2244" t="s">
        <v>20</v>
      </c>
      <c r="G2244" t="s">
        <v>21</v>
      </c>
      <c r="H2244">
        <v>4</v>
      </c>
      <c r="I2244">
        <v>220000</v>
      </c>
    </row>
    <row r="2245" spans="1:9" x14ac:dyDescent="0.3">
      <c r="A2245" s="1">
        <v>46103</v>
      </c>
      <c r="B2245">
        <v>2026</v>
      </c>
      <c r="C2245">
        <v>3</v>
      </c>
      <c r="D2245" t="s">
        <v>50</v>
      </c>
      <c r="E2245" t="s">
        <v>41</v>
      </c>
      <c r="F2245" t="s">
        <v>20</v>
      </c>
      <c r="G2245" t="s">
        <v>21</v>
      </c>
      <c r="H2245">
        <v>2</v>
      </c>
      <c r="I2245">
        <v>110000</v>
      </c>
    </row>
    <row r="2246" spans="1:9" x14ac:dyDescent="0.3">
      <c r="A2246" s="1">
        <v>46279</v>
      </c>
      <c r="B2246">
        <v>2026</v>
      </c>
      <c r="C2246">
        <v>9</v>
      </c>
      <c r="D2246" t="s">
        <v>40</v>
      </c>
      <c r="E2246" t="s">
        <v>41</v>
      </c>
      <c r="F2246" t="s">
        <v>20</v>
      </c>
      <c r="G2246" t="s">
        <v>21</v>
      </c>
      <c r="H2246">
        <v>4</v>
      </c>
      <c r="I2246">
        <v>220000</v>
      </c>
    </row>
    <row r="2247" spans="1:9" x14ac:dyDescent="0.3">
      <c r="A2247" s="1">
        <v>46115</v>
      </c>
      <c r="B2247">
        <v>2026</v>
      </c>
      <c r="C2247">
        <v>4</v>
      </c>
      <c r="D2247" t="s">
        <v>40</v>
      </c>
      <c r="E2247" t="s">
        <v>41</v>
      </c>
      <c r="F2247" t="s">
        <v>20</v>
      </c>
      <c r="G2247" t="s">
        <v>21</v>
      </c>
      <c r="H2247">
        <v>5</v>
      </c>
      <c r="I2247">
        <v>275000</v>
      </c>
    </row>
    <row r="2248" spans="1:9" x14ac:dyDescent="0.3">
      <c r="A2248" s="1">
        <v>46205</v>
      </c>
      <c r="B2248">
        <v>2026</v>
      </c>
      <c r="C2248">
        <v>7</v>
      </c>
      <c r="D2248" t="s">
        <v>44</v>
      </c>
      <c r="E2248" t="s">
        <v>45</v>
      </c>
      <c r="F2248" t="s">
        <v>20</v>
      </c>
      <c r="G2248" t="s">
        <v>21</v>
      </c>
      <c r="H2248">
        <v>1</v>
      </c>
      <c r="I2248">
        <v>55000</v>
      </c>
    </row>
    <row r="2249" spans="1:9" x14ac:dyDescent="0.3">
      <c r="A2249" s="1">
        <v>46256</v>
      </c>
      <c r="B2249">
        <v>2026</v>
      </c>
      <c r="C2249">
        <v>8</v>
      </c>
      <c r="D2249" t="s">
        <v>51</v>
      </c>
      <c r="E2249" t="s">
        <v>45</v>
      </c>
      <c r="F2249" t="s">
        <v>26</v>
      </c>
      <c r="G2249" t="s">
        <v>21</v>
      </c>
      <c r="H2249">
        <v>3</v>
      </c>
      <c r="I2249">
        <v>28500</v>
      </c>
    </row>
    <row r="2250" spans="1:9" x14ac:dyDescent="0.3">
      <c r="A2250" s="1">
        <v>46208</v>
      </c>
      <c r="B2250">
        <v>2026</v>
      </c>
      <c r="C2250">
        <v>7</v>
      </c>
      <c r="D2250" t="s">
        <v>50</v>
      </c>
      <c r="E2250" t="s">
        <v>41</v>
      </c>
      <c r="F2250" t="s">
        <v>26</v>
      </c>
      <c r="G2250" t="s">
        <v>21</v>
      </c>
      <c r="H2250">
        <v>1</v>
      </c>
      <c r="I2250">
        <v>9500</v>
      </c>
    </row>
    <row r="2251" spans="1:9" x14ac:dyDescent="0.3">
      <c r="A2251" s="1">
        <v>46230</v>
      </c>
      <c r="B2251">
        <v>2026</v>
      </c>
      <c r="C2251">
        <v>7</v>
      </c>
      <c r="D2251" t="s">
        <v>42</v>
      </c>
      <c r="E2251" t="s">
        <v>43</v>
      </c>
      <c r="F2251" t="s">
        <v>26</v>
      </c>
      <c r="G2251" t="s">
        <v>21</v>
      </c>
      <c r="H2251">
        <v>2</v>
      </c>
      <c r="I2251">
        <v>19000</v>
      </c>
    </row>
    <row r="2252" spans="1:9" x14ac:dyDescent="0.3">
      <c r="A2252" s="1">
        <v>46236</v>
      </c>
      <c r="B2252">
        <v>2026</v>
      </c>
      <c r="C2252">
        <v>8</v>
      </c>
      <c r="D2252" t="s">
        <v>44</v>
      </c>
      <c r="E2252" t="s">
        <v>45</v>
      </c>
      <c r="F2252" t="s">
        <v>26</v>
      </c>
      <c r="G2252" t="s">
        <v>21</v>
      </c>
      <c r="H2252">
        <v>2</v>
      </c>
      <c r="I2252">
        <v>19000</v>
      </c>
    </row>
    <row r="2253" spans="1:9" x14ac:dyDescent="0.3">
      <c r="A2253" s="1">
        <v>46045</v>
      </c>
      <c r="B2253">
        <v>2026</v>
      </c>
      <c r="C2253">
        <v>1</v>
      </c>
      <c r="D2253" t="s">
        <v>42</v>
      </c>
      <c r="E2253" t="s">
        <v>43</v>
      </c>
      <c r="F2253" t="s">
        <v>26</v>
      </c>
      <c r="G2253" t="s">
        <v>21</v>
      </c>
      <c r="H2253">
        <v>5</v>
      </c>
      <c r="I2253">
        <v>47500</v>
      </c>
    </row>
    <row r="2254" spans="1:9" x14ac:dyDescent="0.3">
      <c r="A2254" s="1">
        <v>46107</v>
      </c>
      <c r="B2254">
        <v>2026</v>
      </c>
      <c r="C2254">
        <v>3</v>
      </c>
      <c r="D2254" t="s">
        <v>40</v>
      </c>
      <c r="E2254" t="s">
        <v>41</v>
      </c>
      <c r="F2254" t="s">
        <v>26</v>
      </c>
      <c r="G2254" t="s">
        <v>21</v>
      </c>
      <c r="H2254">
        <v>4</v>
      </c>
      <c r="I2254">
        <v>38000</v>
      </c>
    </row>
    <row r="2255" spans="1:9" x14ac:dyDescent="0.3">
      <c r="A2255" s="1">
        <v>46053</v>
      </c>
      <c r="B2255">
        <v>2026</v>
      </c>
      <c r="C2255">
        <v>1</v>
      </c>
      <c r="D2255" t="s">
        <v>49</v>
      </c>
      <c r="E2255" t="s">
        <v>47</v>
      </c>
      <c r="F2255" t="s">
        <v>26</v>
      </c>
      <c r="G2255" t="s">
        <v>21</v>
      </c>
      <c r="H2255">
        <v>1</v>
      </c>
      <c r="I2255">
        <v>9500</v>
      </c>
    </row>
    <row r="2256" spans="1:9" x14ac:dyDescent="0.3">
      <c r="A2256" s="1">
        <v>46096</v>
      </c>
      <c r="B2256">
        <v>2026</v>
      </c>
      <c r="C2256">
        <v>3</v>
      </c>
      <c r="D2256" t="s">
        <v>48</v>
      </c>
      <c r="E2256" t="s">
        <v>43</v>
      </c>
      <c r="F2256" t="s">
        <v>26</v>
      </c>
      <c r="G2256" t="s">
        <v>21</v>
      </c>
      <c r="H2256">
        <v>5</v>
      </c>
      <c r="I2256">
        <v>47500</v>
      </c>
    </row>
    <row r="2257" spans="1:9" x14ac:dyDescent="0.3">
      <c r="A2257" s="1">
        <v>46146</v>
      </c>
      <c r="B2257">
        <v>2026</v>
      </c>
      <c r="C2257">
        <v>5</v>
      </c>
      <c r="D2257" t="s">
        <v>51</v>
      </c>
      <c r="E2257" t="s">
        <v>45</v>
      </c>
      <c r="F2257" t="s">
        <v>26</v>
      </c>
      <c r="G2257" t="s">
        <v>21</v>
      </c>
      <c r="H2257">
        <v>1</v>
      </c>
      <c r="I2257">
        <v>9500</v>
      </c>
    </row>
    <row r="2258" spans="1:9" x14ac:dyDescent="0.3">
      <c r="A2258" s="1">
        <v>46072</v>
      </c>
      <c r="B2258">
        <v>2026</v>
      </c>
      <c r="C2258">
        <v>2</v>
      </c>
      <c r="D2258" t="s">
        <v>46</v>
      </c>
      <c r="E2258" t="s">
        <v>47</v>
      </c>
      <c r="F2258" t="s">
        <v>26</v>
      </c>
      <c r="G2258" t="s">
        <v>21</v>
      </c>
      <c r="H2258">
        <v>5</v>
      </c>
      <c r="I2258">
        <v>47500</v>
      </c>
    </row>
    <row r="2259" spans="1:9" x14ac:dyDescent="0.3">
      <c r="A2259" s="1">
        <v>46028</v>
      </c>
      <c r="B2259">
        <v>2026</v>
      </c>
      <c r="C2259">
        <v>1</v>
      </c>
      <c r="D2259" t="s">
        <v>42</v>
      </c>
      <c r="E2259" t="s">
        <v>43</v>
      </c>
      <c r="F2259" t="s">
        <v>26</v>
      </c>
      <c r="G2259" t="s">
        <v>21</v>
      </c>
      <c r="H2259">
        <v>5</v>
      </c>
      <c r="I2259">
        <v>47500</v>
      </c>
    </row>
    <row r="2260" spans="1:9" x14ac:dyDescent="0.3">
      <c r="A2260" s="1">
        <v>46109</v>
      </c>
      <c r="B2260">
        <v>2026</v>
      </c>
      <c r="C2260">
        <v>3</v>
      </c>
      <c r="D2260" t="s">
        <v>48</v>
      </c>
      <c r="E2260" t="s">
        <v>43</v>
      </c>
      <c r="F2260" t="s">
        <v>26</v>
      </c>
      <c r="G2260" t="s">
        <v>21</v>
      </c>
      <c r="H2260">
        <v>3</v>
      </c>
      <c r="I2260">
        <v>28500</v>
      </c>
    </row>
    <row r="2261" spans="1:9" x14ac:dyDescent="0.3">
      <c r="A2261" s="1">
        <v>46272</v>
      </c>
      <c r="B2261">
        <v>2026</v>
      </c>
      <c r="C2261">
        <v>9</v>
      </c>
      <c r="D2261" t="s">
        <v>46</v>
      </c>
      <c r="E2261" t="s">
        <v>47</v>
      </c>
      <c r="F2261" t="s">
        <v>26</v>
      </c>
      <c r="G2261" t="s">
        <v>21</v>
      </c>
      <c r="H2261">
        <v>3</v>
      </c>
      <c r="I2261">
        <v>28500</v>
      </c>
    </row>
    <row r="2262" spans="1:9" x14ac:dyDescent="0.3">
      <c r="A2262" s="1">
        <v>46119</v>
      </c>
      <c r="B2262">
        <v>2026</v>
      </c>
      <c r="C2262">
        <v>4</v>
      </c>
      <c r="D2262" t="s">
        <v>40</v>
      </c>
      <c r="E2262" t="s">
        <v>41</v>
      </c>
      <c r="F2262" t="s">
        <v>26</v>
      </c>
      <c r="G2262" t="s">
        <v>21</v>
      </c>
      <c r="H2262">
        <v>3</v>
      </c>
      <c r="I2262">
        <v>28500</v>
      </c>
    </row>
    <row r="2263" spans="1:9" x14ac:dyDescent="0.3">
      <c r="A2263" s="1">
        <v>46205</v>
      </c>
      <c r="B2263">
        <v>2026</v>
      </c>
      <c r="C2263">
        <v>7</v>
      </c>
      <c r="D2263" t="s">
        <v>46</v>
      </c>
      <c r="E2263" t="s">
        <v>47</v>
      </c>
      <c r="F2263" t="s">
        <v>26</v>
      </c>
      <c r="G2263" t="s">
        <v>21</v>
      </c>
      <c r="H2263">
        <v>2</v>
      </c>
      <c r="I2263">
        <v>19000</v>
      </c>
    </row>
    <row r="2264" spans="1:9" x14ac:dyDescent="0.3">
      <c r="A2264" s="1">
        <v>46278</v>
      </c>
      <c r="B2264">
        <v>2026</v>
      </c>
      <c r="C2264">
        <v>9</v>
      </c>
      <c r="D2264" t="s">
        <v>51</v>
      </c>
      <c r="E2264" t="s">
        <v>45</v>
      </c>
      <c r="F2264" t="s">
        <v>26</v>
      </c>
      <c r="G2264" t="s">
        <v>21</v>
      </c>
      <c r="H2264">
        <v>4</v>
      </c>
      <c r="I2264">
        <v>38000</v>
      </c>
    </row>
    <row r="2265" spans="1:9" x14ac:dyDescent="0.3">
      <c r="A2265" s="1">
        <v>46129</v>
      </c>
      <c r="B2265">
        <v>2026</v>
      </c>
      <c r="C2265">
        <v>4</v>
      </c>
      <c r="D2265" t="s">
        <v>40</v>
      </c>
      <c r="E2265" t="s">
        <v>41</v>
      </c>
      <c r="F2265" t="s">
        <v>26</v>
      </c>
      <c r="G2265" t="s">
        <v>21</v>
      </c>
      <c r="H2265">
        <v>4</v>
      </c>
      <c r="I2265">
        <v>38000</v>
      </c>
    </row>
    <row r="2266" spans="1:9" x14ac:dyDescent="0.3">
      <c r="A2266" s="1">
        <v>46085</v>
      </c>
      <c r="B2266">
        <v>2026</v>
      </c>
      <c r="C2266">
        <v>3</v>
      </c>
      <c r="D2266" t="s">
        <v>51</v>
      </c>
      <c r="E2266" t="s">
        <v>45</v>
      </c>
      <c r="F2266" t="s">
        <v>26</v>
      </c>
      <c r="G2266" t="s">
        <v>21</v>
      </c>
      <c r="H2266">
        <v>3</v>
      </c>
      <c r="I2266">
        <v>28500</v>
      </c>
    </row>
    <row r="2267" spans="1:9" x14ac:dyDescent="0.3">
      <c r="A2267" s="1">
        <v>46033</v>
      </c>
      <c r="B2267">
        <v>2026</v>
      </c>
      <c r="C2267">
        <v>1</v>
      </c>
      <c r="D2267" t="s">
        <v>51</v>
      </c>
      <c r="E2267" t="s">
        <v>45</v>
      </c>
      <c r="F2267" t="s">
        <v>26</v>
      </c>
      <c r="G2267" t="s">
        <v>21</v>
      </c>
      <c r="H2267">
        <v>4</v>
      </c>
      <c r="I2267">
        <v>38000</v>
      </c>
    </row>
    <row r="2268" spans="1:9" x14ac:dyDescent="0.3">
      <c r="A2268" s="1">
        <v>46323</v>
      </c>
      <c r="B2268">
        <v>2026</v>
      </c>
      <c r="C2268">
        <v>10</v>
      </c>
      <c r="D2268" t="s">
        <v>48</v>
      </c>
      <c r="E2268" t="s">
        <v>43</v>
      </c>
      <c r="F2268" t="s">
        <v>26</v>
      </c>
      <c r="G2268" t="s">
        <v>21</v>
      </c>
      <c r="H2268">
        <v>3</v>
      </c>
      <c r="I2268">
        <v>28500</v>
      </c>
    </row>
    <row r="2269" spans="1:9" x14ac:dyDescent="0.3">
      <c r="A2269" s="1">
        <v>46140</v>
      </c>
      <c r="B2269">
        <v>2026</v>
      </c>
      <c r="C2269">
        <v>4</v>
      </c>
      <c r="D2269" t="s">
        <v>48</v>
      </c>
      <c r="E2269" t="s">
        <v>43</v>
      </c>
      <c r="F2269" t="s">
        <v>26</v>
      </c>
      <c r="G2269" t="s">
        <v>21</v>
      </c>
      <c r="H2269">
        <v>2</v>
      </c>
      <c r="I2269">
        <v>19000</v>
      </c>
    </row>
    <row r="2270" spans="1:9" x14ac:dyDescent="0.3">
      <c r="A2270" s="1">
        <v>46295</v>
      </c>
      <c r="B2270">
        <v>2026</v>
      </c>
      <c r="C2270">
        <v>9</v>
      </c>
      <c r="D2270" t="s">
        <v>50</v>
      </c>
      <c r="E2270" t="s">
        <v>41</v>
      </c>
      <c r="F2270" t="s">
        <v>26</v>
      </c>
      <c r="G2270" t="s">
        <v>21</v>
      </c>
      <c r="H2270">
        <v>1</v>
      </c>
      <c r="I2270">
        <v>9500</v>
      </c>
    </row>
    <row r="2271" spans="1:9" x14ac:dyDescent="0.3">
      <c r="A2271" s="1">
        <v>46041</v>
      </c>
      <c r="B2271">
        <v>2026</v>
      </c>
      <c r="C2271">
        <v>1</v>
      </c>
      <c r="D2271" t="s">
        <v>44</v>
      </c>
      <c r="E2271" t="s">
        <v>45</v>
      </c>
      <c r="F2271" t="s">
        <v>26</v>
      </c>
      <c r="G2271" t="s">
        <v>21</v>
      </c>
      <c r="H2271">
        <v>4</v>
      </c>
      <c r="I2271">
        <v>38000</v>
      </c>
    </row>
    <row r="2272" spans="1:9" x14ac:dyDescent="0.3">
      <c r="A2272" s="1">
        <v>46046</v>
      </c>
      <c r="B2272">
        <v>2026</v>
      </c>
      <c r="C2272">
        <v>1</v>
      </c>
      <c r="D2272" t="s">
        <v>46</v>
      </c>
      <c r="E2272" t="s">
        <v>47</v>
      </c>
      <c r="F2272" t="s">
        <v>26</v>
      </c>
      <c r="G2272" t="s">
        <v>21</v>
      </c>
      <c r="H2272">
        <v>2</v>
      </c>
      <c r="I2272">
        <v>19000</v>
      </c>
    </row>
    <row r="2273" spans="1:9" x14ac:dyDescent="0.3">
      <c r="A2273" s="1">
        <v>46186</v>
      </c>
      <c r="B2273">
        <v>2026</v>
      </c>
      <c r="C2273">
        <v>6</v>
      </c>
      <c r="D2273" t="s">
        <v>50</v>
      </c>
      <c r="E2273" t="s">
        <v>41</v>
      </c>
      <c r="F2273" t="s">
        <v>26</v>
      </c>
      <c r="G2273" t="s">
        <v>21</v>
      </c>
      <c r="H2273">
        <v>2</v>
      </c>
      <c r="I2273">
        <v>19000</v>
      </c>
    </row>
    <row r="2274" spans="1:9" x14ac:dyDescent="0.3">
      <c r="A2274" s="1">
        <v>46240</v>
      </c>
      <c r="B2274">
        <v>2026</v>
      </c>
      <c r="C2274">
        <v>8</v>
      </c>
      <c r="D2274" t="s">
        <v>40</v>
      </c>
      <c r="E2274" t="s">
        <v>41</v>
      </c>
      <c r="F2274" t="s">
        <v>26</v>
      </c>
      <c r="G2274" t="s">
        <v>21</v>
      </c>
      <c r="H2274">
        <v>4</v>
      </c>
      <c r="I2274">
        <v>38000</v>
      </c>
    </row>
    <row r="2275" spans="1:9" x14ac:dyDescent="0.3">
      <c r="A2275" s="1">
        <v>46262</v>
      </c>
      <c r="B2275">
        <v>2026</v>
      </c>
      <c r="C2275">
        <v>8</v>
      </c>
      <c r="D2275" t="s">
        <v>42</v>
      </c>
      <c r="E2275" t="s">
        <v>43</v>
      </c>
      <c r="F2275" t="s">
        <v>26</v>
      </c>
      <c r="G2275" t="s">
        <v>21</v>
      </c>
      <c r="H2275">
        <v>3</v>
      </c>
      <c r="I2275">
        <v>28500</v>
      </c>
    </row>
    <row r="2276" spans="1:9" x14ac:dyDescent="0.3">
      <c r="A2276" s="1">
        <v>46136</v>
      </c>
      <c r="B2276">
        <v>2026</v>
      </c>
      <c r="C2276">
        <v>4</v>
      </c>
      <c r="D2276" t="s">
        <v>51</v>
      </c>
      <c r="E2276" t="s">
        <v>45</v>
      </c>
      <c r="F2276" t="s">
        <v>26</v>
      </c>
      <c r="G2276" t="s">
        <v>21</v>
      </c>
      <c r="H2276">
        <v>5</v>
      </c>
      <c r="I2276">
        <v>47500</v>
      </c>
    </row>
    <row r="2277" spans="1:9" x14ac:dyDescent="0.3">
      <c r="A2277" s="1">
        <v>46315</v>
      </c>
      <c r="B2277">
        <v>2026</v>
      </c>
      <c r="C2277">
        <v>10</v>
      </c>
      <c r="D2277" t="s">
        <v>49</v>
      </c>
      <c r="E2277" t="s">
        <v>47</v>
      </c>
      <c r="F2277" t="s">
        <v>26</v>
      </c>
      <c r="G2277" t="s">
        <v>21</v>
      </c>
      <c r="H2277">
        <v>1</v>
      </c>
      <c r="I2277">
        <v>9500</v>
      </c>
    </row>
    <row r="2278" spans="1:9" x14ac:dyDescent="0.3">
      <c r="A2278" s="1">
        <v>46248</v>
      </c>
      <c r="B2278">
        <v>2026</v>
      </c>
      <c r="C2278">
        <v>8</v>
      </c>
      <c r="D2278" t="s">
        <v>51</v>
      </c>
      <c r="E2278" t="s">
        <v>45</v>
      </c>
      <c r="F2278" t="s">
        <v>26</v>
      </c>
      <c r="G2278" t="s">
        <v>21</v>
      </c>
      <c r="H2278">
        <v>1</v>
      </c>
      <c r="I2278">
        <v>9500</v>
      </c>
    </row>
    <row r="2279" spans="1:9" x14ac:dyDescent="0.3">
      <c r="A2279" s="1">
        <v>46190</v>
      </c>
      <c r="B2279">
        <v>2026</v>
      </c>
      <c r="C2279">
        <v>6</v>
      </c>
      <c r="D2279" t="s">
        <v>42</v>
      </c>
      <c r="E2279" t="s">
        <v>43</v>
      </c>
      <c r="F2279" t="s">
        <v>26</v>
      </c>
      <c r="G2279" t="s">
        <v>21</v>
      </c>
      <c r="H2279">
        <v>1</v>
      </c>
      <c r="I2279">
        <v>9500</v>
      </c>
    </row>
    <row r="2280" spans="1:9" x14ac:dyDescent="0.3">
      <c r="A2280" s="1">
        <v>46315</v>
      </c>
      <c r="B2280">
        <v>2026</v>
      </c>
      <c r="C2280">
        <v>10</v>
      </c>
      <c r="D2280" t="s">
        <v>40</v>
      </c>
      <c r="E2280" t="s">
        <v>41</v>
      </c>
      <c r="F2280" t="s">
        <v>26</v>
      </c>
      <c r="G2280" t="s">
        <v>21</v>
      </c>
      <c r="H2280">
        <v>5</v>
      </c>
      <c r="I2280">
        <v>47500</v>
      </c>
    </row>
    <row r="2281" spans="1:9" x14ac:dyDescent="0.3">
      <c r="A2281" s="1">
        <v>46280</v>
      </c>
      <c r="B2281">
        <v>2026</v>
      </c>
      <c r="C2281">
        <v>9</v>
      </c>
      <c r="D2281" t="s">
        <v>49</v>
      </c>
      <c r="E2281" t="s">
        <v>47</v>
      </c>
      <c r="F2281" t="s">
        <v>26</v>
      </c>
      <c r="G2281" t="s">
        <v>21</v>
      </c>
      <c r="H2281">
        <v>4</v>
      </c>
      <c r="I2281">
        <v>38000</v>
      </c>
    </row>
    <row r="2282" spans="1:9" x14ac:dyDescent="0.3">
      <c r="A2282" s="1">
        <v>46228</v>
      </c>
      <c r="B2282">
        <v>2026</v>
      </c>
      <c r="C2282">
        <v>7</v>
      </c>
      <c r="D2282" t="s">
        <v>40</v>
      </c>
      <c r="E2282" t="s">
        <v>41</v>
      </c>
      <c r="F2282" t="s">
        <v>26</v>
      </c>
      <c r="G2282" t="s">
        <v>21</v>
      </c>
      <c r="H2282">
        <v>5</v>
      </c>
      <c r="I2282">
        <v>47500</v>
      </c>
    </row>
    <row r="2283" spans="1:9" x14ac:dyDescent="0.3">
      <c r="A2283" s="1">
        <v>46309</v>
      </c>
      <c r="B2283">
        <v>2026</v>
      </c>
      <c r="C2283">
        <v>10</v>
      </c>
      <c r="D2283" t="s">
        <v>48</v>
      </c>
      <c r="E2283" t="s">
        <v>43</v>
      </c>
      <c r="F2283" t="s">
        <v>26</v>
      </c>
      <c r="G2283" t="s">
        <v>21</v>
      </c>
      <c r="H2283">
        <v>1</v>
      </c>
      <c r="I2283">
        <v>9500</v>
      </c>
    </row>
    <row r="2284" spans="1:9" x14ac:dyDescent="0.3">
      <c r="A2284" s="1">
        <v>46254</v>
      </c>
      <c r="B2284">
        <v>2026</v>
      </c>
      <c r="C2284">
        <v>8</v>
      </c>
      <c r="D2284" t="s">
        <v>46</v>
      </c>
      <c r="E2284" t="s">
        <v>47</v>
      </c>
      <c r="F2284" t="s">
        <v>26</v>
      </c>
      <c r="G2284" t="s">
        <v>21</v>
      </c>
      <c r="H2284">
        <v>2</v>
      </c>
      <c r="I2284">
        <v>19000</v>
      </c>
    </row>
    <row r="2285" spans="1:9" x14ac:dyDescent="0.3">
      <c r="A2285" s="1">
        <v>46066</v>
      </c>
      <c r="B2285">
        <v>2026</v>
      </c>
      <c r="C2285">
        <v>2</v>
      </c>
      <c r="D2285" t="s">
        <v>46</v>
      </c>
      <c r="E2285" t="s">
        <v>47</v>
      </c>
      <c r="F2285" t="s">
        <v>26</v>
      </c>
      <c r="G2285" t="s">
        <v>21</v>
      </c>
      <c r="H2285">
        <v>2</v>
      </c>
      <c r="I2285">
        <v>19000</v>
      </c>
    </row>
    <row r="2286" spans="1:9" x14ac:dyDescent="0.3">
      <c r="A2286" s="1">
        <v>46140</v>
      </c>
      <c r="B2286">
        <v>2026</v>
      </c>
      <c r="C2286">
        <v>4</v>
      </c>
      <c r="D2286" t="s">
        <v>42</v>
      </c>
      <c r="E2286" t="s">
        <v>43</v>
      </c>
      <c r="F2286" t="s">
        <v>26</v>
      </c>
      <c r="G2286" t="s">
        <v>21</v>
      </c>
      <c r="H2286">
        <v>2</v>
      </c>
      <c r="I2286">
        <v>19000</v>
      </c>
    </row>
    <row r="2287" spans="1:9" x14ac:dyDescent="0.3">
      <c r="A2287" s="1">
        <v>46310</v>
      </c>
      <c r="B2287">
        <v>2026</v>
      </c>
      <c r="C2287">
        <v>10</v>
      </c>
      <c r="D2287" t="s">
        <v>49</v>
      </c>
      <c r="E2287" t="s">
        <v>47</v>
      </c>
      <c r="F2287" t="s">
        <v>26</v>
      </c>
      <c r="G2287" t="s">
        <v>21</v>
      </c>
      <c r="H2287">
        <v>5</v>
      </c>
      <c r="I2287">
        <v>47500</v>
      </c>
    </row>
    <row r="2288" spans="1:9" x14ac:dyDescent="0.3">
      <c r="A2288" s="1">
        <v>46099</v>
      </c>
      <c r="B2288">
        <v>2026</v>
      </c>
      <c r="C2288">
        <v>3</v>
      </c>
      <c r="D2288" t="s">
        <v>50</v>
      </c>
      <c r="E2288" t="s">
        <v>41</v>
      </c>
      <c r="F2288" t="s">
        <v>26</v>
      </c>
      <c r="G2288" t="s">
        <v>21</v>
      </c>
      <c r="H2288">
        <v>2</v>
      </c>
      <c r="I2288">
        <v>19000</v>
      </c>
    </row>
    <row r="2289" spans="1:9" x14ac:dyDescent="0.3">
      <c r="A2289" s="1">
        <v>46099</v>
      </c>
      <c r="B2289">
        <v>2026</v>
      </c>
      <c r="C2289">
        <v>3</v>
      </c>
      <c r="D2289" t="s">
        <v>42</v>
      </c>
      <c r="E2289" t="s">
        <v>43</v>
      </c>
      <c r="F2289" t="s">
        <v>26</v>
      </c>
      <c r="G2289" t="s">
        <v>21</v>
      </c>
      <c r="H2289">
        <v>4</v>
      </c>
      <c r="I2289">
        <v>38000</v>
      </c>
    </row>
    <row r="2290" spans="1:9" x14ac:dyDescent="0.3">
      <c r="A2290" s="1">
        <v>46078</v>
      </c>
      <c r="B2290">
        <v>2026</v>
      </c>
      <c r="C2290">
        <v>2</v>
      </c>
      <c r="D2290" t="s">
        <v>49</v>
      </c>
      <c r="E2290" t="s">
        <v>47</v>
      </c>
      <c r="F2290" t="s">
        <v>26</v>
      </c>
      <c r="G2290" t="s">
        <v>21</v>
      </c>
      <c r="H2290">
        <v>4</v>
      </c>
      <c r="I2290">
        <v>38000</v>
      </c>
    </row>
    <row r="2291" spans="1:9" x14ac:dyDescent="0.3">
      <c r="A2291" s="1">
        <v>46238</v>
      </c>
      <c r="B2291">
        <v>2026</v>
      </c>
      <c r="C2291">
        <v>8</v>
      </c>
      <c r="D2291" t="s">
        <v>42</v>
      </c>
      <c r="E2291" t="s">
        <v>43</v>
      </c>
      <c r="F2291" t="s">
        <v>26</v>
      </c>
      <c r="G2291" t="s">
        <v>21</v>
      </c>
      <c r="H2291">
        <v>1</v>
      </c>
      <c r="I2291">
        <v>9500</v>
      </c>
    </row>
    <row r="2292" spans="1:9" x14ac:dyDescent="0.3">
      <c r="A2292" s="1">
        <v>46269</v>
      </c>
      <c r="B2292">
        <v>2026</v>
      </c>
      <c r="C2292">
        <v>9</v>
      </c>
      <c r="D2292" t="s">
        <v>44</v>
      </c>
      <c r="E2292" t="s">
        <v>45</v>
      </c>
      <c r="F2292" t="s">
        <v>26</v>
      </c>
      <c r="G2292" t="s">
        <v>21</v>
      </c>
      <c r="H2292">
        <v>4</v>
      </c>
      <c r="I2292">
        <v>38000</v>
      </c>
    </row>
    <row r="2293" spans="1:9" x14ac:dyDescent="0.3">
      <c r="A2293" s="1">
        <v>46162</v>
      </c>
      <c r="B2293">
        <v>2026</v>
      </c>
      <c r="C2293">
        <v>5</v>
      </c>
      <c r="D2293" t="s">
        <v>51</v>
      </c>
      <c r="E2293" t="s">
        <v>45</v>
      </c>
      <c r="F2293" t="s">
        <v>26</v>
      </c>
      <c r="G2293" t="s">
        <v>21</v>
      </c>
      <c r="H2293">
        <v>4</v>
      </c>
      <c r="I2293">
        <v>38000</v>
      </c>
    </row>
    <row r="2294" spans="1:9" x14ac:dyDescent="0.3">
      <c r="A2294" s="1">
        <v>46170</v>
      </c>
      <c r="B2294">
        <v>2026</v>
      </c>
      <c r="C2294">
        <v>5</v>
      </c>
      <c r="D2294" t="s">
        <v>42</v>
      </c>
      <c r="E2294" t="s">
        <v>43</v>
      </c>
      <c r="F2294" t="s">
        <v>26</v>
      </c>
      <c r="G2294" t="s">
        <v>21</v>
      </c>
      <c r="H2294">
        <v>4</v>
      </c>
      <c r="I2294">
        <v>38000</v>
      </c>
    </row>
    <row r="2295" spans="1:9" x14ac:dyDescent="0.3">
      <c r="A2295" s="1">
        <v>46226</v>
      </c>
      <c r="B2295">
        <v>2026</v>
      </c>
      <c r="C2295">
        <v>7</v>
      </c>
      <c r="D2295" t="s">
        <v>42</v>
      </c>
      <c r="E2295" t="s">
        <v>43</v>
      </c>
      <c r="F2295" t="s">
        <v>26</v>
      </c>
      <c r="G2295" t="s">
        <v>21</v>
      </c>
      <c r="H2295">
        <v>2</v>
      </c>
      <c r="I2295">
        <v>19000</v>
      </c>
    </row>
    <row r="2296" spans="1:9" x14ac:dyDescent="0.3">
      <c r="A2296" s="1">
        <v>46291</v>
      </c>
      <c r="B2296">
        <v>2026</v>
      </c>
      <c r="C2296">
        <v>9</v>
      </c>
      <c r="D2296" t="s">
        <v>42</v>
      </c>
      <c r="E2296" t="s">
        <v>43</v>
      </c>
      <c r="F2296" t="s">
        <v>26</v>
      </c>
      <c r="G2296" t="s">
        <v>21</v>
      </c>
      <c r="H2296">
        <v>3</v>
      </c>
      <c r="I2296">
        <v>28500</v>
      </c>
    </row>
    <row r="2297" spans="1:9" x14ac:dyDescent="0.3">
      <c r="A2297" s="1">
        <v>46139</v>
      </c>
      <c r="B2297">
        <v>2026</v>
      </c>
      <c r="C2297">
        <v>4</v>
      </c>
      <c r="D2297" t="s">
        <v>44</v>
      </c>
      <c r="E2297" t="s">
        <v>45</v>
      </c>
      <c r="F2297" t="s">
        <v>26</v>
      </c>
      <c r="G2297" t="s">
        <v>21</v>
      </c>
      <c r="H2297">
        <v>2</v>
      </c>
      <c r="I2297">
        <v>19000</v>
      </c>
    </row>
    <row r="2298" spans="1:9" x14ac:dyDescent="0.3">
      <c r="A2298" s="1">
        <v>46320</v>
      </c>
      <c r="B2298">
        <v>2026</v>
      </c>
      <c r="C2298">
        <v>10</v>
      </c>
      <c r="D2298" t="s">
        <v>44</v>
      </c>
      <c r="E2298" t="s">
        <v>45</v>
      </c>
      <c r="F2298" t="s">
        <v>26</v>
      </c>
      <c r="G2298" t="s">
        <v>21</v>
      </c>
      <c r="H2298">
        <v>5</v>
      </c>
      <c r="I2298">
        <v>47500</v>
      </c>
    </row>
    <row r="2299" spans="1:9" x14ac:dyDescent="0.3">
      <c r="A2299" s="1">
        <v>46212</v>
      </c>
      <c r="B2299">
        <v>2026</v>
      </c>
      <c r="C2299">
        <v>7</v>
      </c>
      <c r="D2299" t="s">
        <v>46</v>
      </c>
      <c r="E2299" t="s">
        <v>47</v>
      </c>
      <c r="F2299" t="s">
        <v>26</v>
      </c>
      <c r="G2299" t="s">
        <v>21</v>
      </c>
      <c r="H2299">
        <v>5</v>
      </c>
      <c r="I2299">
        <v>47500</v>
      </c>
    </row>
    <row r="2300" spans="1:9" x14ac:dyDescent="0.3">
      <c r="A2300" s="1">
        <v>46152</v>
      </c>
      <c r="B2300">
        <v>2026</v>
      </c>
      <c r="C2300">
        <v>5</v>
      </c>
      <c r="D2300" t="s">
        <v>50</v>
      </c>
      <c r="E2300" t="s">
        <v>41</v>
      </c>
      <c r="F2300" t="s">
        <v>26</v>
      </c>
      <c r="G2300" t="s">
        <v>21</v>
      </c>
      <c r="H2300">
        <v>3</v>
      </c>
      <c r="I2300">
        <v>28500</v>
      </c>
    </row>
    <row r="2301" spans="1:9" x14ac:dyDescent="0.3">
      <c r="A2301" s="1">
        <v>46247</v>
      </c>
      <c r="B2301">
        <v>2026</v>
      </c>
      <c r="C2301">
        <v>8</v>
      </c>
      <c r="D2301" t="s">
        <v>40</v>
      </c>
      <c r="E2301" t="s">
        <v>41</v>
      </c>
      <c r="F2301" t="s">
        <v>26</v>
      </c>
      <c r="G2301" t="s">
        <v>21</v>
      </c>
      <c r="H2301">
        <v>3</v>
      </c>
      <c r="I2301">
        <v>28500</v>
      </c>
    </row>
    <row r="2302" spans="1:9" x14ac:dyDescent="0.3">
      <c r="A2302" s="1">
        <v>46111</v>
      </c>
      <c r="B2302">
        <v>2026</v>
      </c>
      <c r="C2302">
        <v>3</v>
      </c>
      <c r="D2302" t="s">
        <v>51</v>
      </c>
      <c r="E2302" t="s">
        <v>45</v>
      </c>
      <c r="F2302" t="s">
        <v>26</v>
      </c>
      <c r="G2302" t="s">
        <v>21</v>
      </c>
      <c r="H2302">
        <v>4</v>
      </c>
      <c r="I2302">
        <v>38000</v>
      </c>
    </row>
    <row r="2303" spans="1:9" x14ac:dyDescent="0.3">
      <c r="A2303" s="1">
        <v>46059</v>
      </c>
      <c r="B2303">
        <v>2026</v>
      </c>
      <c r="C2303">
        <v>2</v>
      </c>
      <c r="D2303" t="s">
        <v>48</v>
      </c>
      <c r="E2303" t="s">
        <v>43</v>
      </c>
      <c r="F2303" t="s">
        <v>26</v>
      </c>
      <c r="G2303" t="s">
        <v>21</v>
      </c>
      <c r="H2303">
        <v>5</v>
      </c>
      <c r="I2303">
        <v>47500</v>
      </c>
    </row>
    <row r="2304" spans="1:9" x14ac:dyDescent="0.3">
      <c r="A2304" s="1">
        <v>46166</v>
      </c>
      <c r="B2304">
        <v>2026</v>
      </c>
      <c r="C2304">
        <v>5</v>
      </c>
      <c r="D2304" t="s">
        <v>46</v>
      </c>
      <c r="E2304" t="s">
        <v>47</v>
      </c>
      <c r="F2304" t="s">
        <v>26</v>
      </c>
      <c r="G2304" t="s">
        <v>21</v>
      </c>
      <c r="H2304">
        <v>2</v>
      </c>
      <c r="I2304">
        <v>19000</v>
      </c>
    </row>
    <row r="2305" spans="1:9" x14ac:dyDescent="0.3">
      <c r="A2305" s="1">
        <v>46319</v>
      </c>
      <c r="B2305">
        <v>2026</v>
      </c>
      <c r="C2305">
        <v>10</v>
      </c>
      <c r="D2305" t="s">
        <v>51</v>
      </c>
      <c r="E2305" t="s">
        <v>45</v>
      </c>
      <c r="F2305" t="s">
        <v>26</v>
      </c>
      <c r="G2305" t="s">
        <v>21</v>
      </c>
      <c r="H2305">
        <v>2</v>
      </c>
      <c r="I2305">
        <v>19000</v>
      </c>
    </row>
    <row r="2306" spans="1:9" x14ac:dyDescent="0.3">
      <c r="A2306" s="1">
        <v>46153</v>
      </c>
      <c r="B2306">
        <v>2026</v>
      </c>
      <c r="C2306">
        <v>5</v>
      </c>
      <c r="D2306" t="s">
        <v>50</v>
      </c>
      <c r="E2306" t="s">
        <v>41</v>
      </c>
      <c r="F2306" t="s">
        <v>26</v>
      </c>
      <c r="G2306" t="s">
        <v>21</v>
      </c>
      <c r="H2306">
        <v>4</v>
      </c>
      <c r="I2306">
        <v>38000</v>
      </c>
    </row>
    <row r="2307" spans="1:9" x14ac:dyDescent="0.3">
      <c r="A2307" s="1">
        <v>46313</v>
      </c>
      <c r="B2307">
        <v>2026</v>
      </c>
      <c r="C2307">
        <v>10</v>
      </c>
      <c r="D2307" t="s">
        <v>51</v>
      </c>
      <c r="E2307" t="s">
        <v>45</v>
      </c>
      <c r="F2307" t="s">
        <v>26</v>
      </c>
      <c r="G2307" t="s">
        <v>21</v>
      </c>
      <c r="H2307">
        <v>5</v>
      </c>
      <c r="I2307">
        <v>47500</v>
      </c>
    </row>
    <row r="2308" spans="1:9" x14ac:dyDescent="0.3">
      <c r="A2308" s="1">
        <v>46253</v>
      </c>
      <c r="B2308">
        <v>2026</v>
      </c>
      <c r="C2308">
        <v>8</v>
      </c>
      <c r="D2308" t="s">
        <v>44</v>
      </c>
      <c r="E2308" t="s">
        <v>45</v>
      </c>
      <c r="F2308" t="s">
        <v>26</v>
      </c>
      <c r="G2308" t="s">
        <v>21</v>
      </c>
      <c r="H2308">
        <v>1</v>
      </c>
      <c r="I2308">
        <v>9500</v>
      </c>
    </row>
    <row r="2309" spans="1:9" x14ac:dyDescent="0.3">
      <c r="A2309" s="1">
        <v>46237</v>
      </c>
      <c r="B2309">
        <v>2026</v>
      </c>
      <c r="C2309">
        <v>8</v>
      </c>
      <c r="D2309" t="s">
        <v>50</v>
      </c>
      <c r="E2309" t="s">
        <v>41</v>
      </c>
      <c r="F2309" t="s">
        <v>26</v>
      </c>
      <c r="G2309" t="s">
        <v>21</v>
      </c>
      <c r="H2309">
        <v>1</v>
      </c>
      <c r="I2309">
        <v>9500</v>
      </c>
    </row>
    <row r="2310" spans="1:9" x14ac:dyDescent="0.3">
      <c r="A2310" s="1">
        <v>46136</v>
      </c>
      <c r="B2310">
        <v>2026</v>
      </c>
      <c r="C2310">
        <v>4</v>
      </c>
      <c r="D2310" t="s">
        <v>49</v>
      </c>
      <c r="E2310" t="s">
        <v>47</v>
      </c>
      <c r="F2310" t="s">
        <v>26</v>
      </c>
      <c r="G2310" t="s">
        <v>21</v>
      </c>
      <c r="H2310">
        <v>5</v>
      </c>
      <c r="I2310">
        <v>47500</v>
      </c>
    </row>
    <row r="2311" spans="1:9" x14ac:dyDescent="0.3">
      <c r="A2311" s="1">
        <v>46273</v>
      </c>
      <c r="B2311">
        <v>2026</v>
      </c>
      <c r="C2311">
        <v>9</v>
      </c>
      <c r="D2311" t="s">
        <v>46</v>
      </c>
      <c r="E2311" t="s">
        <v>47</v>
      </c>
      <c r="F2311" t="s">
        <v>26</v>
      </c>
      <c r="G2311" t="s">
        <v>21</v>
      </c>
      <c r="H2311">
        <v>1</v>
      </c>
      <c r="I2311">
        <v>9500</v>
      </c>
    </row>
    <row r="2312" spans="1:9" x14ac:dyDescent="0.3">
      <c r="A2312" s="1">
        <v>46289</v>
      </c>
      <c r="B2312">
        <v>2026</v>
      </c>
      <c r="C2312">
        <v>9</v>
      </c>
      <c r="D2312" t="s">
        <v>51</v>
      </c>
      <c r="E2312" t="s">
        <v>45</v>
      </c>
      <c r="F2312" t="s">
        <v>26</v>
      </c>
      <c r="G2312" t="s">
        <v>21</v>
      </c>
      <c r="H2312">
        <v>4</v>
      </c>
      <c r="I2312">
        <v>38000</v>
      </c>
    </row>
    <row r="2313" spans="1:9" x14ac:dyDescent="0.3">
      <c r="A2313" s="1">
        <v>46276</v>
      </c>
      <c r="B2313">
        <v>2026</v>
      </c>
      <c r="C2313">
        <v>9</v>
      </c>
      <c r="D2313" t="s">
        <v>49</v>
      </c>
      <c r="E2313" t="s">
        <v>47</v>
      </c>
      <c r="F2313" t="s">
        <v>26</v>
      </c>
      <c r="G2313" t="s">
        <v>21</v>
      </c>
      <c r="H2313">
        <v>3</v>
      </c>
      <c r="I2313">
        <v>28500</v>
      </c>
    </row>
    <row r="2314" spans="1:9" x14ac:dyDescent="0.3">
      <c r="A2314" s="1">
        <v>46316</v>
      </c>
      <c r="B2314">
        <v>2026</v>
      </c>
      <c r="C2314">
        <v>10</v>
      </c>
      <c r="D2314" t="s">
        <v>42</v>
      </c>
      <c r="E2314" t="s">
        <v>43</v>
      </c>
      <c r="F2314" t="s">
        <v>26</v>
      </c>
      <c r="G2314" t="s">
        <v>21</v>
      </c>
      <c r="H2314">
        <v>1</v>
      </c>
      <c r="I2314">
        <v>9500</v>
      </c>
    </row>
    <row r="2315" spans="1:9" x14ac:dyDescent="0.3">
      <c r="A2315" s="1">
        <v>46192</v>
      </c>
      <c r="B2315">
        <v>2026</v>
      </c>
      <c r="C2315">
        <v>6</v>
      </c>
      <c r="D2315" t="s">
        <v>44</v>
      </c>
      <c r="E2315" t="s">
        <v>45</v>
      </c>
      <c r="F2315" t="s">
        <v>26</v>
      </c>
      <c r="G2315" t="s">
        <v>21</v>
      </c>
      <c r="H2315">
        <v>5</v>
      </c>
      <c r="I2315">
        <v>47500</v>
      </c>
    </row>
    <row r="2316" spans="1:9" x14ac:dyDescent="0.3">
      <c r="A2316" s="1">
        <v>46239</v>
      </c>
      <c r="B2316">
        <v>2026</v>
      </c>
      <c r="C2316">
        <v>8</v>
      </c>
      <c r="D2316" t="s">
        <v>50</v>
      </c>
      <c r="E2316" t="s">
        <v>41</v>
      </c>
      <c r="F2316" t="s">
        <v>26</v>
      </c>
      <c r="G2316" t="s">
        <v>21</v>
      </c>
      <c r="H2316">
        <v>3</v>
      </c>
      <c r="I2316">
        <v>28500</v>
      </c>
    </row>
    <row r="2317" spans="1:9" x14ac:dyDescent="0.3">
      <c r="A2317" s="1">
        <v>46215</v>
      </c>
      <c r="B2317">
        <v>2026</v>
      </c>
      <c r="C2317">
        <v>7</v>
      </c>
      <c r="D2317" t="s">
        <v>49</v>
      </c>
      <c r="E2317" t="s">
        <v>47</v>
      </c>
      <c r="F2317" t="s">
        <v>26</v>
      </c>
      <c r="G2317" t="s">
        <v>21</v>
      </c>
      <c r="H2317">
        <v>1</v>
      </c>
      <c r="I2317">
        <v>9500</v>
      </c>
    </row>
    <row r="2318" spans="1:9" x14ac:dyDescent="0.3">
      <c r="A2318" s="1">
        <v>46263</v>
      </c>
      <c r="B2318">
        <v>2026</v>
      </c>
      <c r="C2318">
        <v>8</v>
      </c>
      <c r="D2318" t="s">
        <v>42</v>
      </c>
      <c r="E2318" t="s">
        <v>43</v>
      </c>
      <c r="F2318" t="s">
        <v>26</v>
      </c>
      <c r="G2318" t="s">
        <v>21</v>
      </c>
      <c r="H2318">
        <v>1</v>
      </c>
      <c r="I2318">
        <v>9500</v>
      </c>
    </row>
    <row r="2319" spans="1:9" x14ac:dyDescent="0.3">
      <c r="A2319" s="1">
        <v>46024</v>
      </c>
      <c r="B2319">
        <v>2026</v>
      </c>
      <c r="C2319">
        <v>1</v>
      </c>
      <c r="D2319" t="s">
        <v>50</v>
      </c>
      <c r="E2319" t="s">
        <v>41</v>
      </c>
      <c r="F2319" t="s">
        <v>26</v>
      </c>
      <c r="G2319" t="s">
        <v>21</v>
      </c>
      <c r="H2319">
        <v>2</v>
      </c>
      <c r="I2319">
        <v>19000</v>
      </c>
    </row>
    <row r="2320" spans="1:9" x14ac:dyDescent="0.3">
      <c r="A2320" s="1">
        <v>46299</v>
      </c>
      <c r="B2320">
        <v>2026</v>
      </c>
      <c r="C2320">
        <v>10</v>
      </c>
      <c r="D2320" t="s">
        <v>40</v>
      </c>
      <c r="E2320" t="s">
        <v>41</v>
      </c>
      <c r="F2320" t="s">
        <v>26</v>
      </c>
      <c r="G2320" t="s">
        <v>21</v>
      </c>
      <c r="H2320">
        <v>2</v>
      </c>
      <c r="I2320">
        <v>19000</v>
      </c>
    </row>
    <row r="2321" spans="1:9" x14ac:dyDescent="0.3">
      <c r="A2321" s="1">
        <v>46244</v>
      </c>
      <c r="B2321">
        <v>2026</v>
      </c>
      <c r="C2321">
        <v>8</v>
      </c>
      <c r="D2321" t="s">
        <v>46</v>
      </c>
      <c r="E2321" t="s">
        <v>47</v>
      </c>
      <c r="F2321" t="s">
        <v>26</v>
      </c>
      <c r="G2321" t="s">
        <v>21</v>
      </c>
      <c r="H2321">
        <v>5</v>
      </c>
      <c r="I2321">
        <v>47500</v>
      </c>
    </row>
    <row r="2322" spans="1:9" x14ac:dyDescent="0.3">
      <c r="A2322" s="1">
        <v>46197</v>
      </c>
      <c r="B2322">
        <v>2026</v>
      </c>
      <c r="C2322">
        <v>6</v>
      </c>
      <c r="D2322" t="s">
        <v>44</v>
      </c>
      <c r="E2322" t="s">
        <v>45</v>
      </c>
      <c r="F2322" t="s">
        <v>26</v>
      </c>
      <c r="G2322" t="s">
        <v>21</v>
      </c>
      <c r="H2322">
        <v>4</v>
      </c>
      <c r="I2322">
        <v>38000</v>
      </c>
    </row>
    <row r="2323" spans="1:9" x14ac:dyDescent="0.3">
      <c r="A2323" s="1">
        <v>46101</v>
      </c>
      <c r="B2323">
        <v>2026</v>
      </c>
      <c r="C2323">
        <v>3</v>
      </c>
      <c r="D2323" t="s">
        <v>51</v>
      </c>
      <c r="E2323" t="s">
        <v>45</v>
      </c>
      <c r="F2323" t="s">
        <v>26</v>
      </c>
      <c r="G2323" t="s">
        <v>21</v>
      </c>
      <c r="H2323">
        <v>1</v>
      </c>
      <c r="I2323">
        <v>9500</v>
      </c>
    </row>
    <row r="2324" spans="1:9" x14ac:dyDescent="0.3">
      <c r="A2324" s="1">
        <v>46265</v>
      </c>
      <c r="B2324">
        <v>2026</v>
      </c>
      <c r="C2324">
        <v>8</v>
      </c>
      <c r="D2324" t="s">
        <v>49</v>
      </c>
      <c r="E2324" t="s">
        <v>47</v>
      </c>
      <c r="F2324" t="s">
        <v>26</v>
      </c>
      <c r="G2324" t="s">
        <v>21</v>
      </c>
      <c r="H2324">
        <v>3</v>
      </c>
      <c r="I2324">
        <v>28500</v>
      </c>
    </row>
    <row r="2325" spans="1:9" x14ac:dyDescent="0.3">
      <c r="A2325" s="1">
        <v>46215</v>
      </c>
      <c r="B2325">
        <v>2026</v>
      </c>
      <c r="C2325">
        <v>7</v>
      </c>
      <c r="D2325" t="s">
        <v>50</v>
      </c>
      <c r="E2325" t="s">
        <v>41</v>
      </c>
      <c r="F2325" t="s">
        <v>26</v>
      </c>
      <c r="G2325" t="s">
        <v>21</v>
      </c>
      <c r="H2325">
        <v>3</v>
      </c>
      <c r="I2325">
        <v>28500</v>
      </c>
    </row>
    <row r="2326" spans="1:9" x14ac:dyDescent="0.3">
      <c r="A2326" s="1">
        <v>46292</v>
      </c>
      <c r="B2326">
        <v>2026</v>
      </c>
      <c r="C2326">
        <v>9</v>
      </c>
      <c r="D2326" t="s">
        <v>40</v>
      </c>
      <c r="E2326" t="s">
        <v>41</v>
      </c>
      <c r="F2326" t="s">
        <v>26</v>
      </c>
      <c r="G2326" t="s">
        <v>21</v>
      </c>
      <c r="H2326">
        <v>2</v>
      </c>
      <c r="I2326">
        <v>19000</v>
      </c>
    </row>
    <row r="2327" spans="1:9" x14ac:dyDescent="0.3">
      <c r="A2327" s="1">
        <v>46072</v>
      </c>
      <c r="B2327">
        <v>2026</v>
      </c>
      <c r="C2327">
        <v>2</v>
      </c>
      <c r="D2327" t="s">
        <v>50</v>
      </c>
      <c r="E2327" t="s">
        <v>41</v>
      </c>
      <c r="F2327" t="s">
        <v>26</v>
      </c>
      <c r="G2327" t="s">
        <v>21</v>
      </c>
      <c r="H2327">
        <v>4</v>
      </c>
      <c r="I2327">
        <v>38000</v>
      </c>
    </row>
    <row r="2328" spans="1:9" x14ac:dyDescent="0.3">
      <c r="A2328" s="1">
        <v>46245</v>
      </c>
      <c r="B2328">
        <v>2026</v>
      </c>
      <c r="C2328">
        <v>8</v>
      </c>
      <c r="D2328" t="s">
        <v>51</v>
      </c>
      <c r="E2328" t="s">
        <v>45</v>
      </c>
      <c r="F2328" t="s">
        <v>26</v>
      </c>
      <c r="G2328" t="s">
        <v>21</v>
      </c>
      <c r="H2328">
        <v>1</v>
      </c>
      <c r="I2328">
        <v>9500</v>
      </c>
    </row>
    <row r="2329" spans="1:9" x14ac:dyDescent="0.3">
      <c r="A2329" s="1">
        <v>46262</v>
      </c>
      <c r="B2329">
        <v>2026</v>
      </c>
      <c r="C2329">
        <v>8</v>
      </c>
      <c r="D2329" t="s">
        <v>44</v>
      </c>
      <c r="E2329" t="s">
        <v>45</v>
      </c>
      <c r="F2329" t="s">
        <v>26</v>
      </c>
      <c r="G2329" t="s">
        <v>21</v>
      </c>
      <c r="H2329">
        <v>4</v>
      </c>
      <c r="I2329">
        <v>38000</v>
      </c>
    </row>
    <row r="2330" spans="1:9" x14ac:dyDescent="0.3">
      <c r="A2330" s="1">
        <v>46309</v>
      </c>
      <c r="B2330">
        <v>2026</v>
      </c>
      <c r="C2330">
        <v>10</v>
      </c>
      <c r="D2330" t="s">
        <v>51</v>
      </c>
      <c r="E2330" t="s">
        <v>45</v>
      </c>
      <c r="F2330" t="s">
        <v>26</v>
      </c>
      <c r="G2330" t="s">
        <v>21</v>
      </c>
      <c r="H2330">
        <v>5</v>
      </c>
      <c r="I2330">
        <v>47500</v>
      </c>
    </row>
    <row r="2331" spans="1:9" x14ac:dyDescent="0.3">
      <c r="A2331" s="1">
        <v>46256</v>
      </c>
      <c r="B2331">
        <v>2026</v>
      </c>
      <c r="C2331">
        <v>8</v>
      </c>
      <c r="D2331" t="s">
        <v>44</v>
      </c>
      <c r="E2331" t="s">
        <v>45</v>
      </c>
      <c r="F2331" t="s">
        <v>26</v>
      </c>
      <c r="G2331" t="s">
        <v>21</v>
      </c>
      <c r="H2331">
        <v>5</v>
      </c>
      <c r="I2331">
        <v>47500</v>
      </c>
    </row>
    <row r="2332" spans="1:9" x14ac:dyDescent="0.3">
      <c r="A2332" s="1">
        <v>46268</v>
      </c>
      <c r="B2332">
        <v>2026</v>
      </c>
      <c r="C2332">
        <v>9</v>
      </c>
      <c r="D2332" t="s">
        <v>42</v>
      </c>
      <c r="E2332" t="s">
        <v>43</v>
      </c>
      <c r="F2332" t="s">
        <v>26</v>
      </c>
      <c r="G2332" t="s">
        <v>21</v>
      </c>
      <c r="H2332">
        <v>3</v>
      </c>
      <c r="I2332">
        <v>28500</v>
      </c>
    </row>
    <row r="2333" spans="1:9" x14ac:dyDescent="0.3">
      <c r="A2333" s="1">
        <v>46178</v>
      </c>
      <c r="B2333">
        <v>2026</v>
      </c>
      <c r="C2333">
        <v>6</v>
      </c>
      <c r="D2333" t="s">
        <v>48</v>
      </c>
      <c r="E2333" t="s">
        <v>43</v>
      </c>
      <c r="F2333" t="s">
        <v>26</v>
      </c>
      <c r="G2333" t="s">
        <v>21</v>
      </c>
      <c r="H2333">
        <v>2</v>
      </c>
      <c r="I2333">
        <v>19000</v>
      </c>
    </row>
    <row r="2334" spans="1:9" x14ac:dyDescent="0.3">
      <c r="A2334" s="1">
        <v>46300</v>
      </c>
      <c r="B2334">
        <v>2026</v>
      </c>
      <c r="C2334">
        <v>10</v>
      </c>
      <c r="D2334" t="s">
        <v>46</v>
      </c>
      <c r="E2334" t="s">
        <v>47</v>
      </c>
      <c r="F2334" t="s">
        <v>26</v>
      </c>
      <c r="G2334" t="s">
        <v>21</v>
      </c>
      <c r="H2334">
        <v>3</v>
      </c>
      <c r="I2334">
        <v>28500</v>
      </c>
    </row>
    <row r="2335" spans="1:9" x14ac:dyDescent="0.3">
      <c r="A2335" s="1">
        <v>46257</v>
      </c>
      <c r="B2335">
        <v>2026</v>
      </c>
      <c r="C2335">
        <v>8</v>
      </c>
      <c r="D2335" t="s">
        <v>44</v>
      </c>
      <c r="E2335" t="s">
        <v>45</v>
      </c>
      <c r="F2335" t="s">
        <v>26</v>
      </c>
      <c r="G2335" t="s">
        <v>21</v>
      </c>
      <c r="H2335">
        <v>4</v>
      </c>
      <c r="I2335">
        <v>38000</v>
      </c>
    </row>
    <row r="2336" spans="1:9" x14ac:dyDescent="0.3">
      <c r="A2336" s="1">
        <v>46132</v>
      </c>
      <c r="B2336">
        <v>2026</v>
      </c>
      <c r="C2336">
        <v>4</v>
      </c>
      <c r="D2336" t="s">
        <v>50</v>
      </c>
      <c r="E2336" t="s">
        <v>41</v>
      </c>
      <c r="F2336" t="s">
        <v>26</v>
      </c>
      <c r="G2336" t="s">
        <v>21</v>
      </c>
      <c r="H2336">
        <v>1</v>
      </c>
      <c r="I2336">
        <v>9500</v>
      </c>
    </row>
    <row r="2337" spans="1:9" x14ac:dyDescent="0.3">
      <c r="A2337" s="1">
        <v>46155</v>
      </c>
      <c r="B2337">
        <v>2026</v>
      </c>
      <c r="C2337">
        <v>5</v>
      </c>
      <c r="D2337" t="s">
        <v>49</v>
      </c>
      <c r="E2337" t="s">
        <v>47</v>
      </c>
      <c r="F2337" t="s">
        <v>26</v>
      </c>
      <c r="G2337" t="s">
        <v>21</v>
      </c>
      <c r="H2337">
        <v>5</v>
      </c>
      <c r="I2337">
        <v>47500</v>
      </c>
    </row>
    <row r="2338" spans="1:9" x14ac:dyDescent="0.3">
      <c r="A2338" s="1">
        <v>46247</v>
      </c>
      <c r="B2338">
        <v>2026</v>
      </c>
      <c r="C2338">
        <v>8</v>
      </c>
      <c r="D2338" t="s">
        <v>48</v>
      </c>
      <c r="E2338" t="s">
        <v>43</v>
      </c>
      <c r="F2338" t="s">
        <v>26</v>
      </c>
      <c r="G2338" t="s">
        <v>21</v>
      </c>
      <c r="H2338">
        <v>4</v>
      </c>
      <c r="I2338">
        <v>38000</v>
      </c>
    </row>
    <row r="2339" spans="1:9" x14ac:dyDescent="0.3">
      <c r="A2339" s="1">
        <v>46051</v>
      </c>
      <c r="B2339">
        <v>2026</v>
      </c>
      <c r="C2339">
        <v>1</v>
      </c>
      <c r="D2339" t="s">
        <v>48</v>
      </c>
      <c r="E2339" t="s">
        <v>43</v>
      </c>
      <c r="F2339" t="s">
        <v>26</v>
      </c>
      <c r="G2339" t="s">
        <v>21</v>
      </c>
      <c r="H2339">
        <v>5</v>
      </c>
      <c r="I2339">
        <v>47500</v>
      </c>
    </row>
    <row r="2340" spans="1:9" x14ac:dyDescent="0.3">
      <c r="A2340" s="1">
        <v>46292</v>
      </c>
      <c r="B2340">
        <v>2026</v>
      </c>
      <c r="C2340">
        <v>9</v>
      </c>
      <c r="D2340" t="s">
        <v>51</v>
      </c>
      <c r="E2340" t="s">
        <v>45</v>
      </c>
      <c r="F2340" t="s">
        <v>26</v>
      </c>
      <c r="G2340" t="s">
        <v>21</v>
      </c>
      <c r="H2340">
        <v>3</v>
      </c>
      <c r="I2340">
        <v>28500</v>
      </c>
    </row>
    <row r="2341" spans="1:9" x14ac:dyDescent="0.3">
      <c r="A2341" s="1">
        <v>46257</v>
      </c>
      <c r="B2341">
        <v>2026</v>
      </c>
      <c r="C2341">
        <v>8</v>
      </c>
      <c r="D2341" t="s">
        <v>48</v>
      </c>
      <c r="E2341" t="s">
        <v>43</v>
      </c>
      <c r="F2341" t="s">
        <v>26</v>
      </c>
      <c r="G2341" t="s">
        <v>21</v>
      </c>
      <c r="H2341">
        <v>3</v>
      </c>
      <c r="I2341">
        <v>28500</v>
      </c>
    </row>
    <row r="2342" spans="1:9" x14ac:dyDescent="0.3">
      <c r="A2342" s="1">
        <v>46272</v>
      </c>
      <c r="B2342">
        <v>2026</v>
      </c>
      <c r="C2342">
        <v>9</v>
      </c>
      <c r="D2342" t="s">
        <v>40</v>
      </c>
      <c r="E2342" t="s">
        <v>41</v>
      </c>
      <c r="F2342" t="s">
        <v>26</v>
      </c>
      <c r="G2342" t="s">
        <v>21</v>
      </c>
      <c r="H2342">
        <v>4</v>
      </c>
      <c r="I2342">
        <v>38000</v>
      </c>
    </row>
    <row r="2343" spans="1:9" x14ac:dyDescent="0.3">
      <c r="A2343" s="1">
        <v>46073</v>
      </c>
      <c r="B2343">
        <v>2026</v>
      </c>
      <c r="C2343">
        <v>2</v>
      </c>
      <c r="D2343" t="s">
        <v>49</v>
      </c>
      <c r="E2343" t="s">
        <v>47</v>
      </c>
      <c r="F2343" t="s">
        <v>26</v>
      </c>
      <c r="G2343" t="s">
        <v>21</v>
      </c>
      <c r="H2343">
        <v>5</v>
      </c>
      <c r="I2343">
        <v>47500</v>
      </c>
    </row>
    <row r="2344" spans="1:9" x14ac:dyDescent="0.3">
      <c r="A2344" s="1">
        <v>46066</v>
      </c>
      <c r="B2344">
        <v>2026</v>
      </c>
      <c r="C2344">
        <v>2</v>
      </c>
      <c r="D2344" t="s">
        <v>40</v>
      </c>
      <c r="E2344" t="s">
        <v>41</v>
      </c>
      <c r="F2344" t="s">
        <v>26</v>
      </c>
      <c r="G2344" t="s">
        <v>21</v>
      </c>
      <c r="H2344">
        <v>1</v>
      </c>
      <c r="I2344">
        <v>9500</v>
      </c>
    </row>
    <row r="2345" spans="1:9" x14ac:dyDescent="0.3">
      <c r="A2345" s="1">
        <v>46311</v>
      </c>
      <c r="B2345">
        <v>2026</v>
      </c>
      <c r="C2345">
        <v>10</v>
      </c>
      <c r="D2345" t="s">
        <v>46</v>
      </c>
      <c r="E2345" t="s">
        <v>47</v>
      </c>
      <c r="F2345" t="s">
        <v>26</v>
      </c>
      <c r="G2345" t="s">
        <v>21</v>
      </c>
      <c r="H2345">
        <v>4</v>
      </c>
      <c r="I2345">
        <v>38000</v>
      </c>
    </row>
    <row r="2346" spans="1:9" x14ac:dyDescent="0.3">
      <c r="A2346" s="1">
        <v>46145</v>
      </c>
      <c r="B2346">
        <v>2026</v>
      </c>
      <c r="C2346">
        <v>5</v>
      </c>
      <c r="D2346" t="s">
        <v>49</v>
      </c>
      <c r="E2346" t="s">
        <v>47</v>
      </c>
      <c r="F2346" t="s">
        <v>26</v>
      </c>
      <c r="G2346" t="s">
        <v>21</v>
      </c>
      <c r="H2346">
        <v>1</v>
      </c>
      <c r="I2346">
        <v>9500</v>
      </c>
    </row>
    <row r="2347" spans="1:9" x14ac:dyDescent="0.3">
      <c r="A2347" s="1">
        <v>46195</v>
      </c>
      <c r="B2347">
        <v>2026</v>
      </c>
      <c r="C2347">
        <v>6</v>
      </c>
      <c r="D2347" t="s">
        <v>40</v>
      </c>
      <c r="E2347" t="s">
        <v>41</v>
      </c>
      <c r="F2347" t="s">
        <v>26</v>
      </c>
      <c r="G2347" t="s">
        <v>21</v>
      </c>
      <c r="H2347">
        <v>5</v>
      </c>
      <c r="I2347">
        <v>47500</v>
      </c>
    </row>
    <row r="2348" spans="1:9" x14ac:dyDescent="0.3">
      <c r="A2348" s="1">
        <v>46077</v>
      </c>
      <c r="B2348">
        <v>2026</v>
      </c>
      <c r="C2348">
        <v>2</v>
      </c>
      <c r="D2348" t="s">
        <v>51</v>
      </c>
      <c r="E2348" t="s">
        <v>45</v>
      </c>
      <c r="F2348" t="s">
        <v>26</v>
      </c>
      <c r="G2348" t="s">
        <v>21</v>
      </c>
      <c r="H2348">
        <v>2</v>
      </c>
      <c r="I2348">
        <v>19000</v>
      </c>
    </row>
    <row r="2349" spans="1:9" x14ac:dyDescent="0.3">
      <c r="A2349" s="1">
        <v>46309</v>
      </c>
      <c r="B2349">
        <v>2026</v>
      </c>
      <c r="C2349">
        <v>10</v>
      </c>
      <c r="D2349" t="s">
        <v>44</v>
      </c>
      <c r="E2349" t="s">
        <v>45</v>
      </c>
      <c r="F2349" t="s">
        <v>26</v>
      </c>
      <c r="G2349" t="s">
        <v>21</v>
      </c>
      <c r="H2349">
        <v>3</v>
      </c>
      <c r="I2349">
        <v>28500</v>
      </c>
    </row>
    <row r="2350" spans="1:9" x14ac:dyDescent="0.3">
      <c r="A2350" s="1">
        <v>46053</v>
      </c>
      <c r="B2350">
        <v>2026</v>
      </c>
      <c r="C2350">
        <v>1</v>
      </c>
      <c r="D2350" t="s">
        <v>51</v>
      </c>
      <c r="E2350" t="s">
        <v>45</v>
      </c>
      <c r="F2350" t="s">
        <v>26</v>
      </c>
      <c r="G2350" t="s">
        <v>21</v>
      </c>
      <c r="H2350">
        <v>1</v>
      </c>
      <c r="I2350">
        <v>9500</v>
      </c>
    </row>
    <row r="2351" spans="1:9" x14ac:dyDescent="0.3">
      <c r="A2351" s="1">
        <v>46306</v>
      </c>
      <c r="B2351">
        <v>2026</v>
      </c>
      <c r="C2351">
        <v>10</v>
      </c>
      <c r="D2351" t="s">
        <v>40</v>
      </c>
      <c r="E2351" t="s">
        <v>41</v>
      </c>
      <c r="F2351" t="s">
        <v>26</v>
      </c>
      <c r="G2351" t="s">
        <v>21</v>
      </c>
      <c r="H2351">
        <v>5</v>
      </c>
      <c r="I2351">
        <v>47500</v>
      </c>
    </row>
    <row r="2352" spans="1:9" x14ac:dyDescent="0.3">
      <c r="A2352" s="1">
        <v>46121</v>
      </c>
      <c r="B2352">
        <v>2026</v>
      </c>
      <c r="C2352">
        <v>4</v>
      </c>
      <c r="D2352" t="s">
        <v>51</v>
      </c>
      <c r="E2352" t="s">
        <v>45</v>
      </c>
      <c r="F2352" t="s">
        <v>26</v>
      </c>
      <c r="G2352" t="s">
        <v>21</v>
      </c>
      <c r="H2352">
        <v>3</v>
      </c>
      <c r="I2352">
        <v>28500</v>
      </c>
    </row>
    <row r="2353" spans="1:9" x14ac:dyDescent="0.3">
      <c r="A2353" s="1">
        <v>46040</v>
      </c>
      <c r="B2353">
        <v>2026</v>
      </c>
      <c r="C2353">
        <v>1</v>
      </c>
      <c r="D2353" t="s">
        <v>50</v>
      </c>
      <c r="E2353" t="s">
        <v>41</v>
      </c>
      <c r="F2353" t="s">
        <v>26</v>
      </c>
      <c r="G2353" t="s">
        <v>21</v>
      </c>
      <c r="H2353">
        <v>2</v>
      </c>
      <c r="I2353">
        <v>19000</v>
      </c>
    </row>
    <row r="2354" spans="1:9" x14ac:dyDescent="0.3">
      <c r="A2354" s="1">
        <v>46290</v>
      </c>
      <c r="B2354">
        <v>2026</v>
      </c>
      <c r="C2354">
        <v>9</v>
      </c>
      <c r="D2354" t="s">
        <v>49</v>
      </c>
      <c r="E2354" t="s">
        <v>47</v>
      </c>
      <c r="F2354" t="s">
        <v>26</v>
      </c>
      <c r="G2354" t="s">
        <v>21</v>
      </c>
      <c r="H2354">
        <v>5</v>
      </c>
      <c r="I2354">
        <v>47500</v>
      </c>
    </row>
    <row r="2355" spans="1:9" x14ac:dyDescent="0.3">
      <c r="A2355" s="1">
        <v>46205</v>
      </c>
      <c r="B2355">
        <v>2026</v>
      </c>
      <c r="C2355">
        <v>7</v>
      </c>
      <c r="D2355" t="s">
        <v>49</v>
      </c>
      <c r="E2355" t="s">
        <v>47</v>
      </c>
      <c r="F2355" t="s">
        <v>26</v>
      </c>
      <c r="G2355" t="s">
        <v>21</v>
      </c>
      <c r="H2355">
        <v>4</v>
      </c>
      <c r="I2355">
        <v>38000</v>
      </c>
    </row>
    <row r="2356" spans="1:9" x14ac:dyDescent="0.3">
      <c r="A2356" s="1">
        <v>46090</v>
      </c>
      <c r="B2356">
        <v>2026</v>
      </c>
      <c r="C2356">
        <v>3</v>
      </c>
      <c r="D2356" t="s">
        <v>49</v>
      </c>
      <c r="E2356" t="s">
        <v>47</v>
      </c>
      <c r="F2356" t="s">
        <v>26</v>
      </c>
      <c r="G2356" t="s">
        <v>21</v>
      </c>
      <c r="H2356">
        <v>5</v>
      </c>
      <c r="I2356">
        <v>47500</v>
      </c>
    </row>
    <row r="2357" spans="1:9" x14ac:dyDescent="0.3">
      <c r="A2357" s="1">
        <v>46037</v>
      </c>
      <c r="B2357">
        <v>2026</v>
      </c>
      <c r="C2357">
        <v>1</v>
      </c>
      <c r="D2357" t="s">
        <v>40</v>
      </c>
      <c r="E2357" t="s">
        <v>41</v>
      </c>
      <c r="F2357" t="s">
        <v>26</v>
      </c>
      <c r="G2357" t="s">
        <v>21</v>
      </c>
      <c r="H2357">
        <v>4</v>
      </c>
      <c r="I2357">
        <v>38000</v>
      </c>
    </row>
    <row r="2358" spans="1:9" x14ac:dyDescent="0.3">
      <c r="A2358" s="1">
        <v>46181</v>
      </c>
      <c r="B2358">
        <v>2026</v>
      </c>
      <c r="C2358">
        <v>6</v>
      </c>
      <c r="D2358" t="s">
        <v>42</v>
      </c>
      <c r="E2358" t="s">
        <v>43</v>
      </c>
      <c r="F2358" t="s">
        <v>26</v>
      </c>
      <c r="G2358" t="s">
        <v>21</v>
      </c>
      <c r="H2358">
        <v>1</v>
      </c>
      <c r="I2358">
        <v>9500</v>
      </c>
    </row>
    <row r="2359" spans="1:9" x14ac:dyDescent="0.3">
      <c r="A2359" s="1">
        <v>46117</v>
      </c>
      <c r="B2359">
        <v>2026</v>
      </c>
      <c r="C2359">
        <v>4</v>
      </c>
      <c r="D2359" t="s">
        <v>50</v>
      </c>
      <c r="E2359" t="s">
        <v>41</v>
      </c>
      <c r="F2359" t="s">
        <v>26</v>
      </c>
      <c r="G2359" t="s">
        <v>21</v>
      </c>
      <c r="H2359">
        <v>5</v>
      </c>
      <c r="I2359">
        <v>47500</v>
      </c>
    </row>
    <row r="2360" spans="1:9" x14ac:dyDescent="0.3">
      <c r="A2360" s="1">
        <v>46111</v>
      </c>
      <c r="B2360">
        <v>2026</v>
      </c>
      <c r="C2360">
        <v>3</v>
      </c>
      <c r="D2360" t="s">
        <v>48</v>
      </c>
      <c r="E2360" t="s">
        <v>43</v>
      </c>
      <c r="F2360" t="s">
        <v>26</v>
      </c>
      <c r="G2360" t="s">
        <v>21</v>
      </c>
      <c r="H2360">
        <v>5</v>
      </c>
      <c r="I2360">
        <v>47500</v>
      </c>
    </row>
    <row r="2361" spans="1:9" x14ac:dyDescent="0.3">
      <c r="A2361" s="1">
        <v>46113</v>
      </c>
      <c r="B2361">
        <v>2026</v>
      </c>
      <c r="C2361">
        <v>4</v>
      </c>
      <c r="D2361" t="s">
        <v>51</v>
      </c>
      <c r="E2361" t="s">
        <v>45</v>
      </c>
      <c r="F2361" t="s">
        <v>26</v>
      </c>
      <c r="G2361" t="s">
        <v>21</v>
      </c>
      <c r="H2361">
        <v>3</v>
      </c>
      <c r="I2361">
        <v>28500</v>
      </c>
    </row>
    <row r="2362" spans="1:9" x14ac:dyDescent="0.3">
      <c r="A2362" s="1">
        <v>46230</v>
      </c>
      <c r="B2362">
        <v>2026</v>
      </c>
      <c r="C2362">
        <v>7</v>
      </c>
      <c r="D2362" t="s">
        <v>42</v>
      </c>
      <c r="E2362" t="s">
        <v>43</v>
      </c>
      <c r="F2362" t="s">
        <v>26</v>
      </c>
      <c r="G2362" t="s">
        <v>21</v>
      </c>
      <c r="H2362">
        <v>4</v>
      </c>
      <c r="I2362">
        <v>38000</v>
      </c>
    </row>
    <row r="2363" spans="1:9" x14ac:dyDescent="0.3">
      <c r="A2363" s="1">
        <v>46194</v>
      </c>
      <c r="B2363">
        <v>2026</v>
      </c>
      <c r="C2363">
        <v>6</v>
      </c>
      <c r="D2363" t="s">
        <v>51</v>
      </c>
      <c r="E2363" t="s">
        <v>45</v>
      </c>
      <c r="F2363" t="s">
        <v>26</v>
      </c>
      <c r="G2363" t="s">
        <v>21</v>
      </c>
      <c r="H2363">
        <v>1</v>
      </c>
      <c r="I2363">
        <v>9500</v>
      </c>
    </row>
    <row r="2364" spans="1:9" x14ac:dyDescent="0.3">
      <c r="A2364" s="1">
        <v>46135</v>
      </c>
      <c r="B2364">
        <v>2026</v>
      </c>
      <c r="C2364">
        <v>4</v>
      </c>
      <c r="D2364" t="s">
        <v>40</v>
      </c>
      <c r="E2364" t="s">
        <v>41</v>
      </c>
      <c r="F2364" t="s">
        <v>26</v>
      </c>
      <c r="G2364" t="s">
        <v>21</v>
      </c>
      <c r="H2364">
        <v>2</v>
      </c>
      <c r="I2364">
        <v>19000</v>
      </c>
    </row>
    <row r="2365" spans="1:9" x14ac:dyDescent="0.3">
      <c r="A2365" s="1">
        <v>46110</v>
      </c>
      <c r="B2365">
        <v>2026</v>
      </c>
      <c r="C2365">
        <v>3</v>
      </c>
      <c r="D2365" t="s">
        <v>51</v>
      </c>
      <c r="E2365" t="s">
        <v>45</v>
      </c>
      <c r="F2365" t="s">
        <v>26</v>
      </c>
      <c r="G2365" t="s">
        <v>21</v>
      </c>
      <c r="H2365">
        <v>3</v>
      </c>
      <c r="I2365">
        <v>28500</v>
      </c>
    </row>
    <row r="2366" spans="1:9" x14ac:dyDescent="0.3">
      <c r="A2366" s="1">
        <v>46045</v>
      </c>
      <c r="B2366">
        <v>2026</v>
      </c>
      <c r="C2366">
        <v>1</v>
      </c>
      <c r="D2366" t="s">
        <v>51</v>
      </c>
      <c r="E2366" t="s">
        <v>45</v>
      </c>
      <c r="F2366" t="s">
        <v>26</v>
      </c>
      <c r="G2366" t="s">
        <v>21</v>
      </c>
      <c r="H2366">
        <v>5</v>
      </c>
      <c r="I2366">
        <v>47500</v>
      </c>
    </row>
    <row r="2367" spans="1:9" x14ac:dyDescent="0.3">
      <c r="A2367" s="1">
        <v>46211</v>
      </c>
      <c r="B2367">
        <v>2026</v>
      </c>
      <c r="C2367">
        <v>7</v>
      </c>
      <c r="D2367" t="s">
        <v>48</v>
      </c>
      <c r="E2367" t="s">
        <v>43</v>
      </c>
      <c r="F2367" t="s">
        <v>26</v>
      </c>
      <c r="G2367" t="s">
        <v>21</v>
      </c>
      <c r="H2367">
        <v>1</v>
      </c>
      <c r="I2367">
        <v>9500</v>
      </c>
    </row>
    <row r="2368" spans="1:9" x14ac:dyDescent="0.3">
      <c r="A2368" s="1">
        <v>46293</v>
      </c>
      <c r="B2368">
        <v>2026</v>
      </c>
      <c r="C2368">
        <v>9</v>
      </c>
      <c r="D2368" t="s">
        <v>50</v>
      </c>
      <c r="E2368" t="s">
        <v>41</v>
      </c>
      <c r="F2368" t="s">
        <v>26</v>
      </c>
      <c r="G2368" t="s">
        <v>21</v>
      </c>
      <c r="H2368">
        <v>5</v>
      </c>
      <c r="I2368">
        <v>47500</v>
      </c>
    </row>
    <row r="2369" spans="1:9" x14ac:dyDescent="0.3">
      <c r="A2369" s="1">
        <v>46032</v>
      </c>
      <c r="B2369">
        <v>2026</v>
      </c>
      <c r="C2369">
        <v>1</v>
      </c>
      <c r="D2369" t="s">
        <v>40</v>
      </c>
      <c r="E2369" t="s">
        <v>41</v>
      </c>
      <c r="F2369" t="s">
        <v>26</v>
      </c>
      <c r="G2369" t="s">
        <v>21</v>
      </c>
      <c r="H2369">
        <v>2</v>
      </c>
      <c r="I2369">
        <v>19000</v>
      </c>
    </row>
    <row r="2370" spans="1:9" x14ac:dyDescent="0.3">
      <c r="A2370" s="1">
        <v>46215</v>
      </c>
      <c r="B2370">
        <v>2026</v>
      </c>
      <c r="C2370">
        <v>7</v>
      </c>
      <c r="D2370" t="s">
        <v>50</v>
      </c>
      <c r="E2370" t="s">
        <v>41</v>
      </c>
      <c r="F2370" t="s">
        <v>26</v>
      </c>
      <c r="G2370" t="s">
        <v>21</v>
      </c>
      <c r="H2370">
        <v>4</v>
      </c>
      <c r="I2370">
        <v>38000</v>
      </c>
    </row>
    <row r="2371" spans="1:9" x14ac:dyDescent="0.3">
      <c r="A2371" s="1">
        <v>46306</v>
      </c>
      <c r="B2371">
        <v>2026</v>
      </c>
      <c r="C2371">
        <v>10</v>
      </c>
      <c r="D2371" t="s">
        <v>50</v>
      </c>
      <c r="E2371" t="s">
        <v>41</v>
      </c>
      <c r="F2371" t="s">
        <v>26</v>
      </c>
      <c r="G2371" t="s">
        <v>21</v>
      </c>
      <c r="H2371">
        <v>1</v>
      </c>
      <c r="I2371">
        <v>9500</v>
      </c>
    </row>
    <row r="2372" spans="1:9" x14ac:dyDescent="0.3">
      <c r="A2372" s="1">
        <v>46041</v>
      </c>
      <c r="B2372">
        <v>2026</v>
      </c>
      <c r="C2372">
        <v>1</v>
      </c>
      <c r="D2372" t="s">
        <v>51</v>
      </c>
      <c r="E2372" t="s">
        <v>45</v>
      </c>
      <c r="F2372" t="s">
        <v>26</v>
      </c>
      <c r="G2372" t="s">
        <v>21</v>
      </c>
      <c r="H2372">
        <v>1</v>
      </c>
      <c r="I2372">
        <v>9500</v>
      </c>
    </row>
    <row r="2373" spans="1:9" x14ac:dyDescent="0.3">
      <c r="A2373" s="1">
        <v>46035</v>
      </c>
      <c r="B2373">
        <v>2026</v>
      </c>
      <c r="C2373">
        <v>1</v>
      </c>
      <c r="D2373" t="s">
        <v>50</v>
      </c>
      <c r="E2373" t="s">
        <v>41</v>
      </c>
      <c r="F2373" t="s">
        <v>26</v>
      </c>
      <c r="G2373" t="s">
        <v>21</v>
      </c>
      <c r="H2373">
        <v>4</v>
      </c>
      <c r="I2373">
        <v>38000</v>
      </c>
    </row>
    <row r="2374" spans="1:9" x14ac:dyDescent="0.3">
      <c r="A2374" s="1">
        <v>46313</v>
      </c>
      <c r="B2374">
        <v>2026</v>
      </c>
      <c r="C2374">
        <v>10</v>
      </c>
      <c r="D2374" t="s">
        <v>48</v>
      </c>
      <c r="E2374" t="s">
        <v>43</v>
      </c>
      <c r="F2374" t="s">
        <v>26</v>
      </c>
      <c r="G2374" t="s">
        <v>21</v>
      </c>
      <c r="H2374">
        <v>3</v>
      </c>
      <c r="I2374">
        <v>28500</v>
      </c>
    </row>
    <row r="2375" spans="1:9" x14ac:dyDescent="0.3">
      <c r="A2375" s="1">
        <v>46074</v>
      </c>
      <c r="B2375">
        <v>2026</v>
      </c>
      <c r="C2375">
        <v>2</v>
      </c>
      <c r="D2375" t="s">
        <v>40</v>
      </c>
      <c r="E2375" t="s">
        <v>41</v>
      </c>
      <c r="F2375" t="s">
        <v>26</v>
      </c>
      <c r="G2375" t="s">
        <v>21</v>
      </c>
      <c r="H2375">
        <v>3</v>
      </c>
      <c r="I2375">
        <v>28500</v>
      </c>
    </row>
    <row r="2376" spans="1:9" x14ac:dyDescent="0.3">
      <c r="A2376" s="1">
        <v>46207</v>
      </c>
      <c r="B2376">
        <v>2026</v>
      </c>
      <c r="C2376">
        <v>7</v>
      </c>
      <c r="D2376" t="s">
        <v>51</v>
      </c>
      <c r="E2376" t="s">
        <v>45</v>
      </c>
      <c r="F2376" t="s">
        <v>26</v>
      </c>
      <c r="G2376" t="s">
        <v>21</v>
      </c>
      <c r="H2376">
        <v>4</v>
      </c>
      <c r="I2376">
        <v>38000</v>
      </c>
    </row>
    <row r="2377" spans="1:9" x14ac:dyDescent="0.3">
      <c r="A2377" s="1">
        <v>46287</v>
      </c>
      <c r="B2377">
        <v>2026</v>
      </c>
      <c r="C2377">
        <v>9</v>
      </c>
      <c r="D2377" t="s">
        <v>50</v>
      </c>
      <c r="E2377" t="s">
        <v>41</v>
      </c>
      <c r="F2377" t="s">
        <v>26</v>
      </c>
      <c r="G2377" t="s">
        <v>21</v>
      </c>
      <c r="H2377">
        <v>3</v>
      </c>
      <c r="I2377">
        <v>28500</v>
      </c>
    </row>
    <row r="2378" spans="1:9" x14ac:dyDescent="0.3">
      <c r="A2378" s="1">
        <v>46267</v>
      </c>
      <c r="B2378">
        <v>2026</v>
      </c>
      <c r="C2378">
        <v>9</v>
      </c>
      <c r="D2378" t="s">
        <v>48</v>
      </c>
      <c r="E2378" t="s">
        <v>43</v>
      </c>
      <c r="F2378" t="s">
        <v>26</v>
      </c>
      <c r="G2378" t="s">
        <v>21</v>
      </c>
      <c r="H2378">
        <v>1</v>
      </c>
      <c r="I2378">
        <v>9500</v>
      </c>
    </row>
    <row r="2379" spans="1:9" x14ac:dyDescent="0.3">
      <c r="A2379" s="1">
        <v>46251</v>
      </c>
      <c r="B2379">
        <v>2026</v>
      </c>
      <c r="C2379">
        <v>8</v>
      </c>
      <c r="D2379" t="s">
        <v>44</v>
      </c>
      <c r="E2379" t="s">
        <v>45</v>
      </c>
      <c r="F2379" t="s">
        <v>26</v>
      </c>
      <c r="G2379" t="s">
        <v>21</v>
      </c>
      <c r="H2379">
        <v>4</v>
      </c>
      <c r="I2379">
        <v>38000</v>
      </c>
    </row>
    <row r="2380" spans="1:9" x14ac:dyDescent="0.3">
      <c r="A2380" s="1">
        <v>46169</v>
      </c>
      <c r="B2380">
        <v>2026</v>
      </c>
      <c r="C2380">
        <v>5</v>
      </c>
      <c r="D2380" t="s">
        <v>49</v>
      </c>
      <c r="E2380" t="s">
        <v>47</v>
      </c>
      <c r="F2380" t="s">
        <v>26</v>
      </c>
      <c r="G2380" t="s">
        <v>21</v>
      </c>
      <c r="H2380">
        <v>1</v>
      </c>
      <c r="I2380">
        <v>9500</v>
      </c>
    </row>
    <row r="2381" spans="1:9" x14ac:dyDescent="0.3">
      <c r="A2381" s="1">
        <v>46100</v>
      </c>
      <c r="B2381">
        <v>2026</v>
      </c>
      <c r="C2381">
        <v>3</v>
      </c>
      <c r="D2381" t="s">
        <v>46</v>
      </c>
      <c r="E2381" t="s">
        <v>47</v>
      </c>
      <c r="F2381" t="s">
        <v>26</v>
      </c>
      <c r="G2381" t="s">
        <v>21</v>
      </c>
      <c r="H2381">
        <v>2</v>
      </c>
      <c r="I2381">
        <v>19000</v>
      </c>
    </row>
    <row r="2382" spans="1:9" x14ac:dyDescent="0.3">
      <c r="A2382" s="1">
        <v>46259</v>
      </c>
      <c r="B2382">
        <v>2026</v>
      </c>
      <c r="C2382">
        <v>8</v>
      </c>
      <c r="D2382" t="s">
        <v>49</v>
      </c>
      <c r="E2382" t="s">
        <v>47</v>
      </c>
      <c r="F2382" t="s">
        <v>26</v>
      </c>
      <c r="G2382" t="s">
        <v>21</v>
      </c>
      <c r="H2382">
        <v>4</v>
      </c>
      <c r="I2382">
        <v>38000</v>
      </c>
    </row>
    <row r="2383" spans="1:9" x14ac:dyDescent="0.3">
      <c r="A2383" s="1">
        <v>46265</v>
      </c>
      <c r="B2383">
        <v>2026</v>
      </c>
      <c r="C2383">
        <v>8</v>
      </c>
      <c r="D2383" t="s">
        <v>48</v>
      </c>
      <c r="E2383" t="s">
        <v>43</v>
      </c>
      <c r="F2383" t="s">
        <v>26</v>
      </c>
      <c r="G2383" t="s">
        <v>21</v>
      </c>
      <c r="H2383">
        <v>3</v>
      </c>
      <c r="I2383">
        <v>28500</v>
      </c>
    </row>
    <row r="2384" spans="1:9" x14ac:dyDescent="0.3">
      <c r="A2384" s="1">
        <v>46220</v>
      </c>
      <c r="B2384">
        <v>2026</v>
      </c>
      <c r="C2384">
        <v>7</v>
      </c>
      <c r="D2384" t="s">
        <v>42</v>
      </c>
      <c r="E2384" t="s">
        <v>43</v>
      </c>
      <c r="F2384" t="s">
        <v>26</v>
      </c>
      <c r="G2384" t="s">
        <v>21</v>
      </c>
      <c r="H2384">
        <v>4</v>
      </c>
      <c r="I2384">
        <v>38000</v>
      </c>
    </row>
    <row r="2385" spans="1:9" x14ac:dyDescent="0.3">
      <c r="A2385" s="1">
        <v>46298</v>
      </c>
      <c r="B2385">
        <v>2026</v>
      </c>
      <c r="C2385">
        <v>10</v>
      </c>
      <c r="D2385" t="s">
        <v>42</v>
      </c>
      <c r="E2385" t="s">
        <v>43</v>
      </c>
      <c r="F2385" t="s">
        <v>26</v>
      </c>
      <c r="G2385" t="s">
        <v>21</v>
      </c>
      <c r="H2385">
        <v>3</v>
      </c>
      <c r="I2385">
        <v>28500</v>
      </c>
    </row>
    <row r="2386" spans="1:9" x14ac:dyDescent="0.3">
      <c r="A2386" s="1">
        <v>46296</v>
      </c>
      <c r="B2386">
        <v>2026</v>
      </c>
      <c r="C2386">
        <v>10</v>
      </c>
      <c r="D2386" t="s">
        <v>51</v>
      </c>
      <c r="E2386" t="s">
        <v>45</v>
      </c>
      <c r="F2386" t="s">
        <v>26</v>
      </c>
      <c r="G2386" t="s">
        <v>21</v>
      </c>
      <c r="H2386">
        <v>3</v>
      </c>
      <c r="I2386">
        <v>28500</v>
      </c>
    </row>
    <row r="2387" spans="1:9" x14ac:dyDescent="0.3">
      <c r="A2387" s="1">
        <v>46244</v>
      </c>
      <c r="B2387">
        <v>2026</v>
      </c>
      <c r="C2387">
        <v>8</v>
      </c>
      <c r="D2387" t="s">
        <v>40</v>
      </c>
      <c r="E2387" t="s">
        <v>41</v>
      </c>
      <c r="F2387" t="s">
        <v>26</v>
      </c>
      <c r="G2387" t="s">
        <v>21</v>
      </c>
      <c r="H2387">
        <v>1</v>
      </c>
      <c r="I2387">
        <v>9500</v>
      </c>
    </row>
    <row r="2388" spans="1:9" x14ac:dyDescent="0.3">
      <c r="A2388" s="1">
        <v>46218</v>
      </c>
      <c r="B2388">
        <v>2026</v>
      </c>
      <c r="C2388">
        <v>7</v>
      </c>
      <c r="D2388" t="s">
        <v>48</v>
      </c>
      <c r="E2388" t="s">
        <v>43</v>
      </c>
      <c r="F2388" t="s">
        <v>26</v>
      </c>
      <c r="G2388" t="s">
        <v>21</v>
      </c>
      <c r="H2388">
        <v>2</v>
      </c>
      <c r="I2388">
        <v>19000</v>
      </c>
    </row>
    <row r="2389" spans="1:9" x14ac:dyDescent="0.3">
      <c r="A2389" s="1">
        <v>46157</v>
      </c>
      <c r="B2389">
        <v>2026</v>
      </c>
      <c r="C2389">
        <v>5</v>
      </c>
      <c r="D2389" t="s">
        <v>50</v>
      </c>
      <c r="E2389" t="s">
        <v>41</v>
      </c>
      <c r="F2389" t="s">
        <v>26</v>
      </c>
      <c r="G2389" t="s">
        <v>21</v>
      </c>
      <c r="H2389">
        <v>1</v>
      </c>
      <c r="I2389">
        <v>9500</v>
      </c>
    </row>
    <row r="2390" spans="1:9" x14ac:dyDescent="0.3">
      <c r="A2390" s="1">
        <v>46258</v>
      </c>
      <c r="B2390">
        <v>2026</v>
      </c>
      <c r="C2390">
        <v>8</v>
      </c>
      <c r="D2390" t="s">
        <v>44</v>
      </c>
      <c r="E2390" t="s">
        <v>45</v>
      </c>
      <c r="F2390" t="s">
        <v>26</v>
      </c>
      <c r="G2390" t="s">
        <v>21</v>
      </c>
      <c r="H2390">
        <v>4</v>
      </c>
      <c r="I2390">
        <v>38000</v>
      </c>
    </row>
    <row r="2391" spans="1:9" x14ac:dyDescent="0.3">
      <c r="A2391" s="1">
        <v>46231</v>
      </c>
      <c r="B2391">
        <v>2026</v>
      </c>
      <c r="C2391">
        <v>7</v>
      </c>
      <c r="D2391" t="s">
        <v>50</v>
      </c>
      <c r="E2391" t="s">
        <v>41</v>
      </c>
      <c r="F2391" t="s">
        <v>26</v>
      </c>
      <c r="G2391" t="s">
        <v>21</v>
      </c>
      <c r="H2391">
        <v>1</v>
      </c>
      <c r="I2391">
        <v>9500</v>
      </c>
    </row>
    <row r="2392" spans="1:9" x14ac:dyDescent="0.3">
      <c r="A2392" s="1">
        <v>46178</v>
      </c>
      <c r="B2392">
        <v>2026</v>
      </c>
      <c r="C2392">
        <v>6</v>
      </c>
      <c r="D2392" t="s">
        <v>40</v>
      </c>
      <c r="E2392" t="s">
        <v>41</v>
      </c>
      <c r="F2392" t="s">
        <v>26</v>
      </c>
      <c r="G2392" t="s">
        <v>21</v>
      </c>
      <c r="H2392">
        <v>1</v>
      </c>
      <c r="I2392">
        <v>9500</v>
      </c>
    </row>
    <row r="2393" spans="1:9" x14ac:dyDescent="0.3">
      <c r="A2393" s="1">
        <v>46239</v>
      </c>
      <c r="B2393">
        <v>2026</v>
      </c>
      <c r="C2393">
        <v>8</v>
      </c>
      <c r="D2393" t="s">
        <v>46</v>
      </c>
      <c r="E2393" t="s">
        <v>47</v>
      </c>
      <c r="F2393" t="s">
        <v>26</v>
      </c>
      <c r="G2393" t="s">
        <v>21</v>
      </c>
      <c r="H2393">
        <v>4</v>
      </c>
      <c r="I2393">
        <v>38000</v>
      </c>
    </row>
    <row r="2394" spans="1:9" x14ac:dyDescent="0.3">
      <c r="A2394" s="1">
        <v>46189</v>
      </c>
      <c r="B2394">
        <v>2026</v>
      </c>
      <c r="C2394">
        <v>6</v>
      </c>
      <c r="D2394" t="s">
        <v>46</v>
      </c>
      <c r="E2394" t="s">
        <v>47</v>
      </c>
      <c r="F2394" t="s">
        <v>26</v>
      </c>
      <c r="G2394" t="s">
        <v>21</v>
      </c>
      <c r="H2394">
        <v>3</v>
      </c>
      <c r="I2394">
        <v>28500</v>
      </c>
    </row>
    <row r="2395" spans="1:9" x14ac:dyDescent="0.3">
      <c r="A2395" s="1">
        <v>46190</v>
      </c>
      <c r="B2395">
        <v>2026</v>
      </c>
      <c r="C2395">
        <v>6</v>
      </c>
      <c r="D2395" t="s">
        <v>48</v>
      </c>
      <c r="E2395" t="s">
        <v>43</v>
      </c>
      <c r="F2395" t="s">
        <v>26</v>
      </c>
      <c r="G2395" t="s">
        <v>21</v>
      </c>
      <c r="H2395">
        <v>4</v>
      </c>
      <c r="I2395">
        <v>38000</v>
      </c>
    </row>
    <row r="2396" spans="1:9" x14ac:dyDescent="0.3">
      <c r="A2396" s="1">
        <v>46140</v>
      </c>
      <c r="B2396">
        <v>2026</v>
      </c>
      <c r="C2396">
        <v>4</v>
      </c>
      <c r="D2396" t="s">
        <v>49</v>
      </c>
      <c r="E2396" t="s">
        <v>47</v>
      </c>
      <c r="F2396" t="s">
        <v>26</v>
      </c>
      <c r="G2396" t="s">
        <v>21</v>
      </c>
      <c r="H2396">
        <v>2</v>
      </c>
      <c r="I2396">
        <v>19000</v>
      </c>
    </row>
    <row r="2397" spans="1:9" x14ac:dyDescent="0.3">
      <c r="A2397" s="1">
        <v>46121</v>
      </c>
      <c r="B2397">
        <v>2026</v>
      </c>
      <c r="C2397">
        <v>4</v>
      </c>
      <c r="D2397" t="s">
        <v>48</v>
      </c>
      <c r="E2397" t="s">
        <v>43</v>
      </c>
      <c r="F2397" t="s">
        <v>26</v>
      </c>
      <c r="G2397" t="s">
        <v>21</v>
      </c>
      <c r="H2397">
        <v>4</v>
      </c>
      <c r="I2397">
        <v>38000</v>
      </c>
    </row>
    <row r="2398" spans="1:9" x14ac:dyDescent="0.3">
      <c r="A2398" s="1">
        <v>46249</v>
      </c>
      <c r="B2398">
        <v>2026</v>
      </c>
      <c r="C2398">
        <v>8</v>
      </c>
      <c r="D2398" t="s">
        <v>46</v>
      </c>
      <c r="E2398" t="s">
        <v>47</v>
      </c>
      <c r="F2398" t="s">
        <v>26</v>
      </c>
      <c r="G2398" t="s">
        <v>21</v>
      </c>
      <c r="H2398">
        <v>3</v>
      </c>
      <c r="I2398">
        <v>28500</v>
      </c>
    </row>
    <row r="2399" spans="1:9" x14ac:dyDescent="0.3">
      <c r="A2399" s="1">
        <v>46274</v>
      </c>
      <c r="B2399">
        <v>2026</v>
      </c>
      <c r="C2399">
        <v>9</v>
      </c>
      <c r="D2399" t="s">
        <v>46</v>
      </c>
      <c r="E2399" t="s">
        <v>47</v>
      </c>
      <c r="F2399" t="s">
        <v>26</v>
      </c>
      <c r="G2399" t="s">
        <v>21</v>
      </c>
      <c r="H2399">
        <v>2</v>
      </c>
      <c r="I2399">
        <v>19000</v>
      </c>
    </row>
    <row r="2400" spans="1:9" x14ac:dyDescent="0.3">
      <c r="A2400" s="1">
        <v>46085</v>
      </c>
      <c r="B2400">
        <v>2026</v>
      </c>
      <c r="C2400">
        <v>3</v>
      </c>
      <c r="D2400" t="s">
        <v>48</v>
      </c>
      <c r="E2400" t="s">
        <v>43</v>
      </c>
      <c r="F2400" t="s">
        <v>26</v>
      </c>
      <c r="G2400" t="s">
        <v>21</v>
      </c>
      <c r="H2400">
        <v>4</v>
      </c>
      <c r="I2400">
        <v>38000</v>
      </c>
    </row>
    <row r="2401" spans="1:9" x14ac:dyDescent="0.3">
      <c r="A2401" s="1">
        <v>46101</v>
      </c>
      <c r="B2401">
        <v>2026</v>
      </c>
      <c r="C2401">
        <v>3</v>
      </c>
      <c r="D2401" t="s">
        <v>49</v>
      </c>
      <c r="E2401" t="s">
        <v>47</v>
      </c>
      <c r="F2401" t="s">
        <v>26</v>
      </c>
      <c r="G2401" t="s">
        <v>21</v>
      </c>
      <c r="H2401">
        <v>3</v>
      </c>
      <c r="I2401">
        <v>28500</v>
      </c>
    </row>
    <row r="2402" spans="1:9" x14ac:dyDescent="0.3">
      <c r="A2402" s="1">
        <v>46270</v>
      </c>
      <c r="B2402">
        <v>2026</v>
      </c>
      <c r="C2402">
        <v>9</v>
      </c>
      <c r="D2402" t="s">
        <v>40</v>
      </c>
      <c r="E2402" t="s">
        <v>41</v>
      </c>
      <c r="F2402" t="s">
        <v>26</v>
      </c>
      <c r="G2402" t="s">
        <v>21</v>
      </c>
      <c r="H2402">
        <v>1</v>
      </c>
      <c r="I2402">
        <v>9500</v>
      </c>
    </row>
    <row r="2403" spans="1:9" x14ac:dyDescent="0.3">
      <c r="A2403" s="1">
        <v>46109</v>
      </c>
      <c r="B2403">
        <v>2026</v>
      </c>
      <c r="C2403">
        <v>3</v>
      </c>
      <c r="D2403" t="s">
        <v>48</v>
      </c>
      <c r="E2403" t="s">
        <v>43</v>
      </c>
      <c r="F2403" t="s">
        <v>26</v>
      </c>
      <c r="G2403" t="s">
        <v>21</v>
      </c>
      <c r="H2403">
        <v>3</v>
      </c>
      <c r="I2403">
        <v>28500</v>
      </c>
    </row>
    <row r="2404" spans="1:9" x14ac:dyDescent="0.3">
      <c r="A2404" s="1">
        <v>46241</v>
      </c>
      <c r="B2404">
        <v>2026</v>
      </c>
      <c r="C2404">
        <v>8</v>
      </c>
      <c r="D2404" t="s">
        <v>40</v>
      </c>
      <c r="E2404" t="s">
        <v>41</v>
      </c>
      <c r="F2404" t="s">
        <v>26</v>
      </c>
      <c r="G2404" t="s">
        <v>21</v>
      </c>
      <c r="H2404">
        <v>4</v>
      </c>
      <c r="I2404">
        <v>38000</v>
      </c>
    </row>
    <row r="2405" spans="1:9" x14ac:dyDescent="0.3">
      <c r="A2405" s="1">
        <v>46223</v>
      </c>
      <c r="B2405">
        <v>2026</v>
      </c>
      <c r="C2405">
        <v>7</v>
      </c>
      <c r="D2405" t="s">
        <v>40</v>
      </c>
      <c r="E2405" t="s">
        <v>41</v>
      </c>
      <c r="F2405" t="s">
        <v>26</v>
      </c>
      <c r="G2405" t="s">
        <v>21</v>
      </c>
      <c r="H2405">
        <v>3</v>
      </c>
      <c r="I2405">
        <v>28500</v>
      </c>
    </row>
    <row r="2406" spans="1:9" x14ac:dyDescent="0.3">
      <c r="A2406" s="1">
        <v>46261</v>
      </c>
      <c r="B2406">
        <v>2026</v>
      </c>
      <c r="C2406">
        <v>8</v>
      </c>
      <c r="D2406" t="s">
        <v>49</v>
      </c>
      <c r="E2406" t="s">
        <v>47</v>
      </c>
      <c r="F2406" t="s">
        <v>26</v>
      </c>
      <c r="G2406" t="s">
        <v>21</v>
      </c>
      <c r="H2406">
        <v>4</v>
      </c>
      <c r="I2406">
        <v>38000</v>
      </c>
    </row>
    <row r="2407" spans="1:9" x14ac:dyDescent="0.3">
      <c r="A2407" s="1">
        <v>46049</v>
      </c>
      <c r="B2407">
        <v>2026</v>
      </c>
      <c r="C2407">
        <v>1</v>
      </c>
      <c r="D2407" t="s">
        <v>44</v>
      </c>
      <c r="E2407" t="s">
        <v>45</v>
      </c>
      <c r="F2407" t="s">
        <v>26</v>
      </c>
      <c r="G2407" t="s">
        <v>21</v>
      </c>
      <c r="H2407">
        <v>2</v>
      </c>
      <c r="I2407">
        <v>19000</v>
      </c>
    </row>
    <row r="2408" spans="1:9" x14ac:dyDescent="0.3">
      <c r="A2408" s="1">
        <v>46226</v>
      </c>
      <c r="B2408">
        <v>2026</v>
      </c>
      <c r="C2408">
        <v>7</v>
      </c>
      <c r="D2408" t="s">
        <v>51</v>
      </c>
      <c r="E2408" t="s">
        <v>45</v>
      </c>
      <c r="F2408" t="s">
        <v>26</v>
      </c>
      <c r="G2408" t="s">
        <v>21</v>
      </c>
      <c r="H2408">
        <v>5</v>
      </c>
      <c r="I2408">
        <v>47500</v>
      </c>
    </row>
    <row r="2409" spans="1:9" x14ac:dyDescent="0.3">
      <c r="A2409" s="1">
        <v>46126</v>
      </c>
      <c r="B2409">
        <v>2026</v>
      </c>
      <c r="C2409">
        <v>4</v>
      </c>
      <c r="D2409" t="s">
        <v>49</v>
      </c>
      <c r="E2409" t="s">
        <v>47</v>
      </c>
      <c r="F2409" t="s">
        <v>26</v>
      </c>
      <c r="G2409" t="s">
        <v>21</v>
      </c>
      <c r="H2409">
        <v>2</v>
      </c>
      <c r="I2409">
        <v>19000</v>
      </c>
    </row>
    <row r="2410" spans="1:9" x14ac:dyDescent="0.3">
      <c r="A2410" s="1">
        <v>46208</v>
      </c>
      <c r="B2410">
        <v>2026</v>
      </c>
      <c r="C2410">
        <v>7</v>
      </c>
      <c r="D2410" t="s">
        <v>40</v>
      </c>
      <c r="E2410" t="s">
        <v>41</v>
      </c>
      <c r="F2410" t="s">
        <v>26</v>
      </c>
      <c r="G2410" t="s">
        <v>21</v>
      </c>
      <c r="H2410">
        <v>5</v>
      </c>
      <c r="I2410">
        <v>47500</v>
      </c>
    </row>
    <row r="2411" spans="1:9" x14ac:dyDescent="0.3">
      <c r="A2411" s="1">
        <v>46225</v>
      </c>
      <c r="B2411">
        <v>2026</v>
      </c>
      <c r="C2411">
        <v>7</v>
      </c>
      <c r="D2411" t="s">
        <v>48</v>
      </c>
      <c r="E2411" t="s">
        <v>43</v>
      </c>
      <c r="F2411" t="s">
        <v>26</v>
      </c>
      <c r="G2411" t="s">
        <v>21</v>
      </c>
      <c r="H2411">
        <v>3</v>
      </c>
      <c r="I2411">
        <v>28500</v>
      </c>
    </row>
    <row r="2412" spans="1:9" x14ac:dyDescent="0.3">
      <c r="A2412" s="1">
        <v>46246</v>
      </c>
      <c r="B2412">
        <v>2026</v>
      </c>
      <c r="C2412">
        <v>8</v>
      </c>
      <c r="D2412" t="s">
        <v>40</v>
      </c>
      <c r="E2412" t="s">
        <v>41</v>
      </c>
      <c r="F2412" t="s">
        <v>26</v>
      </c>
      <c r="G2412" t="s">
        <v>21</v>
      </c>
      <c r="H2412">
        <v>3</v>
      </c>
      <c r="I2412">
        <v>28500</v>
      </c>
    </row>
    <row r="2413" spans="1:9" x14ac:dyDescent="0.3">
      <c r="A2413" s="1">
        <v>46297</v>
      </c>
      <c r="B2413">
        <v>2026</v>
      </c>
      <c r="C2413">
        <v>10</v>
      </c>
      <c r="D2413" t="s">
        <v>40</v>
      </c>
      <c r="E2413" t="s">
        <v>41</v>
      </c>
      <c r="F2413" t="s">
        <v>26</v>
      </c>
      <c r="G2413" t="s">
        <v>21</v>
      </c>
      <c r="H2413">
        <v>1</v>
      </c>
      <c r="I2413">
        <v>9500</v>
      </c>
    </row>
    <row r="2414" spans="1:9" x14ac:dyDescent="0.3">
      <c r="A2414" s="1">
        <v>46232</v>
      </c>
      <c r="B2414">
        <v>2026</v>
      </c>
      <c r="C2414">
        <v>7</v>
      </c>
      <c r="D2414" t="s">
        <v>51</v>
      </c>
      <c r="E2414" t="s">
        <v>45</v>
      </c>
      <c r="F2414" t="s">
        <v>26</v>
      </c>
      <c r="G2414" t="s">
        <v>21</v>
      </c>
      <c r="H2414">
        <v>2</v>
      </c>
      <c r="I2414">
        <v>19000</v>
      </c>
    </row>
    <row r="2415" spans="1:9" x14ac:dyDescent="0.3">
      <c r="A2415" s="1">
        <v>46079</v>
      </c>
      <c r="B2415">
        <v>2026</v>
      </c>
      <c r="C2415">
        <v>2</v>
      </c>
      <c r="D2415" t="s">
        <v>42</v>
      </c>
      <c r="E2415" t="s">
        <v>43</v>
      </c>
      <c r="F2415" t="s">
        <v>26</v>
      </c>
      <c r="G2415" t="s">
        <v>21</v>
      </c>
      <c r="H2415">
        <v>4</v>
      </c>
      <c r="I2415">
        <v>38000</v>
      </c>
    </row>
    <row r="2416" spans="1:9" x14ac:dyDescent="0.3">
      <c r="A2416" s="1">
        <v>46200</v>
      </c>
      <c r="B2416">
        <v>2026</v>
      </c>
      <c r="C2416">
        <v>6</v>
      </c>
      <c r="D2416" t="s">
        <v>50</v>
      </c>
      <c r="E2416" t="s">
        <v>41</v>
      </c>
      <c r="F2416" t="s">
        <v>26</v>
      </c>
      <c r="G2416" t="s">
        <v>21</v>
      </c>
      <c r="H2416">
        <v>3</v>
      </c>
      <c r="I2416">
        <v>28500</v>
      </c>
    </row>
    <row r="2417" spans="1:9" x14ac:dyDescent="0.3">
      <c r="A2417" s="1">
        <v>46295</v>
      </c>
      <c r="B2417">
        <v>2026</v>
      </c>
      <c r="C2417">
        <v>9</v>
      </c>
      <c r="D2417" t="s">
        <v>44</v>
      </c>
      <c r="E2417" t="s">
        <v>45</v>
      </c>
      <c r="F2417" t="s">
        <v>26</v>
      </c>
      <c r="G2417" t="s">
        <v>21</v>
      </c>
      <c r="H2417">
        <v>5</v>
      </c>
      <c r="I2417">
        <v>47500</v>
      </c>
    </row>
    <row r="2418" spans="1:9" x14ac:dyDescent="0.3">
      <c r="A2418" s="1">
        <v>46078</v>
      </c>
      <c r="B2418">
        <v>2026</v>
      </c>
      <c r="C2418">
        <v>2</v>
      </c>
      <c r="D2418" t="s">
        <v>51</v>
      </c>
      <c r="E2418" t="s">
        <v>45</v>
      </c>
      <c r="F2418" t="s">
        <v>26</v>
      </c>
      <c r="G2418" t="s">
        <v>21</v>
      </c>
      <c r="H2418">
        <v>1</v>
      </c>
      <c r="I2418">
        <v>9500</v>
      </c>
    </row>
    <row r="2419" spans="1:9" x14ac:dyDescent="0.3">
      <c r="A2419" s="1">
        <v>46142</v>
      </c>
      <c r="B2419">
        <v>2026</v>
      </c>
      <c r="C2419">
        <v>4</v>
      </c>
      <c r="D2419" t="s">
        <v>50</v>
      </c>
      <c r="E2419" t="s">
        <v>41</v>
      </c>
      <c r="F2419" t="s">
        <v>26</v>
      </c>
      <c r="G2419" t="s">
        <v>21</v>
      </c>
      <c r="H2419">
        <v>3</v>
      </c>
      <c r="I2419">
        <v>28500</v>
      </c>
    </row>
    <row r="2420" spans="1:9" x14ac:dyDescent="0.3">
      <c r="A2420" s="1">
        <v>46300</v>
      </c>
      <c r="B2420">
        <v>2026</v>
      </c>
      <c r="C2420">
        <v>10</v>
      </c>
      <c r="D2420" t="s">
        <v>46</v>
      </c>
      <c r="E2420" t="s">
        <v>47</v>
      </c>
      <c r="F2420" t="s">
        <v>26</v>
      </c>
      <c r="G2420" t="s">
        <v>21</v>
      </c>
      <c r="H2420">
        <v>4</v>
      </c>
      <c r="I2420">
        <v>38000</v>
      </c>
    </row>
    <row r="2421" spans="1:9" x14ac:dyDescent="0.3">
      <c r="A2421" s="1">
        <v>46044</v>
      </c>
      <c r="B2421">
        <v>2026</v>
      </c>
      <c r="C2421">
        <v>1</v>
      </c>
      <c r="D2421" t="s">
        <v>51</v>
      </c>
      <c r="E2421" t="s">
        <v>45</v>
      </c>
      <c r="F2421" t="s">
        <v>26</v>
      </c>
      <c r="G2421" t="s">
        <v>21</v>
      </c>
      <c r="H2421">
        <v>3</v>
      </c>
      <c r="I2421">
        <v>28500</v>
      </c>
    </row>
    <row r="2422" spans="1:9" x14ac:dyDescent="0.3">
      <c r="A2422" s="1">
        <v>46233</v>
      </c>
      <c r="B2422">
        <v>2026</v>
      </c>
      <c r="C2422">
        <v>7</v>
      </c>
      <c r="D2422" t="s">
        <v>49</v>
      </c>
      <c r="E2422" t="s">
        <v>47</v>
      </c>
      <c r="F2422" t="s">
        <v>26</v>
      </c>
      <c r="G2422" t="s">
        <v>21</v>
      </c>
      <c r="H2422">
        <v>5</v>
      </c>
      <c r="I2422">
        <v>47500</v>
      </c>
    </row>
    <row r="2423" spans="1:9" x14ac:dyDescent="0.3">
      <c r="A2423" s="1">
        <v>46068</v>
      </c>
      <c r="B2423">
        <v>2026</v>
      </c>
      <c r="C2423">
        <v>2</v>
      </c>
      <c r="D2423" t="s">
        <v>48</v>
      </c>
      <c r="E2423" t="s">
        <v>43</v>
      </c>
      <c r="F2423" t="s">
        <v>26</v>
      </c>
      <c r="G2423" t="s">
        <v>21</v>
      </c>
      <c r="H2423">
        <v>3</v>
      </c>
      <c r="I2423">
        <v>28500</v>
      </c>
    </row>
    <row r="2424" spans="1:9" x14ac:dyDescent="0.3">
      <c r="A2424" s="1">
        <v>46083</v>
      </c>
      <c r="B2424">
        <v>2026</v>
      </c>
      <c r="C2424">
        <v>3</v>
      </c>
      <c r="D2424" t="s">
        <v>42</v>
      </c>
      <c r="E2424" t="s">
        <v>43</v>
      </c>
      <c r="F2424" t="s">
        <v>26</v>
      </c>
      <c r="G2424" t="s">
        <v>21</v>
      </c>
      <c r="H2424">
        <v>1</v>
      </c>
      <c r="I2424">
        <v>9500</v>
      </c>
    </row>
    <row r="2425" spans="1:9" x14ac:dyDescent="0.3">
      <c r="A2425" s="1">
        <v>46149</v>
      </c>
      <c r="B2425">
        <v>2026</v>
      </c>
      <c r="C2425">
        <v>5</v>
      </c>
      <c r="D2425" t="s">
        <v>44</v>
      </c>
      <c r="E2425" t="s">
        <v>45</v>
      </c>
      <c r="F2425" t="s">
        <v>26</v>
      </c>
      <c r="G2425" t="s">
        <v>21</v>
      </c>
      <c r="H2425">
        <v>5</v>
      </c>
      <c r="I2425">
        <v>47500</v>
      </c>
    </row>
    <row r="2426" spans="1:9" x14ac:dyDescent="0.3">
      <c r="A2426" s="1">
        <v>46223</v>
      </c>
      <c r="B2426">
        <v>2026</v>
      </c>
      <c r="C2426">
        <v>7</v>
      </c>
      <c r="D2426" t="s">
        <v>42</v>
      </c>
      <c r="E2426" t="s">
        <v>43</v>
      </c>
      <c r="F2426" t="s">
        <v>26</v>
      </c>
      <c r="G2426" t="s">
        <v>21</v>
      </c>
      <c r="H2426">
        <v>4</v>
      </c>
      <c r="I2426">
        <v>38000</v>
      </c>
    </row>
    <row r="2427" spans="1:9" x14ac:dyDescent="0.3">
      <c r="A2427" s="1">
        <v>46275</v>
      </c>
      <c r="B2427">
        <v>2026</v>
      </c>
      <c r="C2427">
        <v>9</v>
      </c>
      <c r="D2427" t="s">
        <v>50</v>
      </c>
      <c r="E2427" t="s">
        <v>41</v>
      </c>
      <c r="F2427" t="s">
        <v>26</v>
      </c>
      <c r="G2427" t="s">
        <v>21</v>
      </c>
      <c r="H2427">
        <v>5</v>
      </c>
      <c r="I2427">
        <v>47500</v>
      </c>
    </row>
    <row r="2428" spans="1:9" x14ac:dyDescent="0.3">
      <c r="A2428" s="1">
        <v>46187</v>
      </c>
      <c r="B2428">
        <v>2026</v>
      </c>
      <c r="C2428">
        <v>6</v>
      </c>
      <c r="D2428" t="s">
        <v>50</v>
      </c>
      <c r="E2428" t="s">
        <v>41</v>
      </c>
      <c r="F2428" t="s">
        <v>26</v>
      </c>
      <c r="G2428" t="s">
        <v>21</v>
      </c>
      <c r="H2428">
        <v>2</v>
      </c>
      <c r="I2428">
        <v>19000</v>
      </c>
    </row>
    <row r="2429" spans="1:9" x14ac:dyDescent="0.3">
      <c r="A2429" s="1">
        <v>46154</v>
      </c>
      <c r="B2429">
        <v>2026</v>
      </c>
      <c r="C2429">
        <v>5</v>
      </c>
      <c r="D2429" t="s">
        <v>44</v>
      </c>
      <c r="E2429" t="s">
        <v>45</v>
      </c>
      <c r="F2429" t="s">
        <v>26</v>
      </c>
      <c r="G2429" t="s">
        <v>21</v>
      </c>
      <c r="H2429">
        <v>1</v>
      </c>
      <c r="I2429">
        <v>9500</v>
      </c>
    </row>
    <row r="2430" spans="1:9" x14ac:dyDescent="0.3">
      <c r="A2430" s="1">
        <v>46077</v>
      </c>
      <c r="B2430">
        <v>2026</v>
      </c>
      <c r="C2430">
        <v>2</v>
      </c>
      <c r="D2430" t="s">
        <v>42</v>
      </c>
      <c r="E2430" t="s">
        <v>43</v>
      </c>
      <c r="F2430" t="s">
        <v>26</v>
      </c>
      <c r="G2430" t="s">
        <v>21</v>
      </c>
      <c r="H2430">
        <v>2</v>
      </c>
      <c r="I2430">
        <v>19000</v>
      </c>
    </row>
    <row r="2431" spans="1:9" x14ac:dyDescent="0.3">
      <c r="A2431" s="1">
        <v>46199</v>
      </c>
      <c r="B2431">
        <v>2026</v>
      </c>
      <c r="C2431">
        <v>6</v>
      </c>
      <c r="D2431" t="s">
        <v>40</v>
      </c>
      <c r="E2431" t="s">
        <v>41</v>
      </c>
      <c r="F2431" t="s">
        <v>26</v>
      </c>
      <c r="G2431" t="s">
        <v>21</v>
      </c>
      <c r="H2431">
        <v>5</v>
      </c>
      <c r="I2431">
        <v>47500</v>
      </c>
    </row>
    <row r="2432" spans="1:9" x14ac:dyDescent="0.3">
      <c r="A2432" s="1">
        <v>46197</v>
      </c>
      <c r="B2432">
        <v>2026</v>
      </c>
      <c r="C2432">
        <v>6</v>
      </c>
      <c r="D2432" t="s">
        <v>49</v>
      </c>
      <c r="E2432" t="s">
        <v>47</v>
      </c>
      <c r="F2432" t="s">
        <v>26</v>
      </c>
      <c r="G2432" t="s">
        <v>21</v>
      </c>
      <c r="H2432">
        <v>1</v>
      </c>
      <c r="I2432">
        <v>9500</v>
      </c>
    </row>
    <row r="2433" spans="1:9" x14ac:dyDescent="0.3">
      <c r="A2433" s="1">
        <v>46172</v>
      </c>
      <c r="B2433">
        <v>2026</v>
      </c>
      <c r="C2433">
        <v>5</v>
      </c>
      <c r="D2433" t="s">
        <v>40</v>
      </c>
      <c r="E2433" t="s">
        <v>41</v>
      </c>
      <c r="F2433" t="s">
        <v>26</v>
      </c>
      <c r="G2433" t="s">
        <v>21</v>
      </c>
      <c r="H2433">
        <v>4</v>
      </c>
      <c r="I2433">
        <v>38000</v>
      </c>
    </row>
    <row r="2434" spans="1:9" x14ac:dyDescent="0.3">
      <c r="A2434" s="1">
        <v>46182</v>
      </c>
      <c r="B2434">
        <v>2026</v>
      </c>
      <c r="C2434">
        <v>6</v>
      </c>
      <c r="D2434" t="s">
        <v>42</v>
      </c>
      <c r="E2434" t="s">
        <v>43</v>
      </c>
      <c r="F2434" t="s">
        <v>26</v>
      </c>
      <c r="G2434" t="s">
        <v>21</v>
      </c>
      <c r="H2434">
        <v>4</v>
      </c>
      <c r="I2434">
        <v>38000</v>
      </c>
    </row>
    <row r="2435" spans="1:9" x14ac:dyDescent="0.3">
      <c r="A2435" s="1">
        <v>46064</v>
      </c>
      <c r="B2435">
        <v>2026</v>
      </c>
      <c r="C2435">
        <v>2</v>
      </c>
      <c r="D2435" t="s">
        <v>40</v>
      </c>
      <c r="E2435" t="s">
        <v>41</v>
      </c>
      <c r="F2435" t="s">
        <v>26</v>
      </c>
      <c r="G2435" t="s">
        <v>21</v>
      </c>
      <c r="H2435">
        <v>5</v>
      </c>
      <c r="I2435">
        <v>47500</v>
      </c>
    </row>
    <row r="2436" spans="1:9" x14ac:dyDescent="0.3">
      <c r="A2436" s="1">
        <v>46186</v>
      </c>
      <c r="B2436">
        <v>2026</v>
      </c>
      <c r="C2436">
        <v>6</v>
      </c>
      <c r="D2436" t="s">
        <v>51</v>
      </c>
      <c r="E2436" t="s">
        <v>45</v>
      </c>
      <c r="F2436" t="s">
        <v>26</v>
      </c>
      <c r="G2436" t="s">
        <v>21</v>
      </c>
      <c r="H2436">
        <v>4</v>
      </c>
      <c r="I2436">
        <v>38000</v>
      </c>
    </row>
    <row r="2437" spans="1:9" x14ac:dyDescent="0.3">
      <c r="A2437" s="1">
        <v>46170</v>
      </c>
      <c r="B2437">
        <v>2026</v>
      </c>
      <c r="C2437">
        <v>5</v>
      </c>
      <c r="D2437" t="s">
        <v>46</v>
      </c>
      <c r="E2437" t="s">
        <v>47</v>
      </c>
      <c r="F2437" t="s">
        <v>26</v>
      </c>
      <c r="G2437" t="s">
        <v>21</v>
      </c>
      <c r="H2437">
        <v>1</v>
      </c>
      <c r="I2437">
        <v>9500</v>
      </c>
    </row>
    <row r="2438" spans="1:9" x14ac:dyDescent="0.3">
      <c r="A2438" s="1">
        <v>46101</v>
      </c>
      <c r="B2438">
        <v>2026</v>
      </c>
      <c r="C2438">
        <v>3</v>
      </c>
      <c r="D2438" t="s">
        <v>50</v>
      </c>
      <c r="E2438" t="s">
        <v>41</v>
      </c>
      <c r="F2438" t="s">
        <v>26</v>
      </c>
      <c r="G2438" t="s">
        <v>21</v>
      </c>
      <c r="H2438">
        <v>2</v>
      </c>
      <c r="I2438">
        <v>19000</v>
      </c>
    </row>
    <row r="2439" spans="1:9" x14ac:dyDescent="0.3">
      <c r="A2439" s="1">
        <v>46173</v>
      </c>
      <c r="B2439">
        <v>2026</v>
      </c>
      <c r="C2439">
        <v>5</v>
      </c>
      <c r="D2439" t="s">
        <v>51</v>
      </c>
      <c r="E2439" t="s">
        <v>45</v>
      </c>
      <c r="F2439" t="s">
        <v>26</v>
      </c>
      <c r="G2439" t="s">
        <v>21</v>
      </c>
      <c r="H2439">
        <v>2</v>
      </c>
      <c r="I2439">
        <v>19000</v>
      </c>
    </row>
    <row r="2440" spans="1:9" x14ac:dyDescent="0.3">
      <c r="A2440" s="1">
        <v>46072</v>
      </c>
      <c r="B2440">
        <v>2026</v>
      </c>
      <c r="C2440">
        <v>2</v>
      </c>
      <c r="D2440" t="s">
        <v>48</v>
      </c>
      <c r="E2440" t="s">
        <v>43</v>
      </c>
      <c r="F2440" t="s">
        <v>26</v>
      </c>
      <c r="G2440" t="s">
        <v>21</v>
      </c>
      <c r="H2440">
        <v>5</v>
      </c>
      <c r="I2440">
        <v>47500</v>
      </c>
    </row>
    <row r="2441" spans="1:9" x14ac:dyDescent="0.3">
      <c r="A2441" s="1">
        <v>46066</v>
      </c>
      <c r="B2441">
        <v>2026</v>
      </c>
      <c r="C2441">
        <v>2</v>
      </c>
      <c r="D2441" t="s">
        <v>49</v>
      </c>
      <c r="E2441" t="s">
        <v>47</v>
      </c>
      <c r="F2441" t="s">
        <v>26</v>
      </c>
      <c r="G2441" t="s">
        <v>21</v>
      </c>
      <c r="H2441">
        <v>1</v>
      </c>
      <c r="I2441">
        <v>9500</v>
      </c>
    </row>
    <row r="2442" spans="1:9" x14ac:dyDescent="0.3">
      <c r="A2442" s="1">
        <v>46132</v>
      </c>
      <c r="B2442">
        <v>2026</v>
      </c>
      <c r="C2442">
        <v>4</v>
      </c>
      <c r="D2442" t="s">
        <v>50</v>
      </c>
      <c r="E2442" t="s">
        <v>41</v>
      </c>
      <c r="F2442" t="s">
        <v>26</v>
      </c>
      <c r="G2442" t="s">
        <v>21</v>
      </c>
      <c r="H2442">
        <v>4</v>
      </c>
      <c r="I2442">
        <v>38000</v>
      </c>
    </row>
    <row r="2443" spans="1:9" x14ac:dyDescent="0.3">
      <c r="A2443" s="1">
        <v>46291</v>
      </c>
      <c r="B2443">
        <v>2026</v>
      </c>
      <c r="C2443">
        <v>9</v>
      </c>
      <c r="D2443" t="s">
        <v>49</v>
      </c>
      <c r="E2443" t="s">
        <v>47</v>
      </c>
      <c r="F2443" t="s">
        <v>26</v>
      </c>
      <c r="G2443" t="s">
        <v>21</v>
      </c>
      <c r="H2443">
        <v>5</v>
      </c>
      <c r="I2443">
        <v>47500</v>
      </c>
    </row>
    <row r="2444" spans="1:9" x14ac:dyDescent="0.3">
      <c r="A2444" s="1">
        <v>46252</v>
      </c>
      <c r="B2444">
        <v>2026</v>
      </c>
      <c r="C2444">
        <v>8</v>
      </c>
      <c r="D2444" t="s">
        <v>51</v>
      </c>
      <c r="E2444" t="s">
        <v>45</v>
      </c>
      <c r="F2444" t="s">
        <v>26</v>
      </c>
      <c r="G2444" t="s">
        <v>21</v>
      </c>
      <c r="H2444">
        <v>1</v>
      </c>
      <c r="I2444">
        <v>9500</v>
      </c>
    </row>
    <row r="2445" spans="1:9" x14ac:dyDescent="0.3">
      <c r="A2445" s="1">
        <v>46293</v>
      </c>
      <c r="B2445">
        <v>2026</v>
      </c>
      <c r="C2445">
        <v>9</v>
      </c>
      <c r="D2445" t="s">
        <v>44</v>
      </c>
      <c r="E2445" t="s">
        <v>45</v>
      </c>
      <c r="F2445" t="s">
        <v>26</v>
      </c>
      <c r="G2445" t="s">
        <v>21</v>
      </c>
      <c r="H2445">
        <v>4</v>
      </c>
      <c r="I2445">
        <v>38000</v>
      </c>
    </row>
    <row r="2446" spans="1:9" x14ac:dyDescent="0.3">
      <c r="A2446" s="1">
        <v>46122</v>
      </c>
      <c r="B2446">
        <v>2026</v>
      </c>
      <c r="C2446">
        <v>4</v>
      </c>
      <c r="D2446" t="s">
        <v>51</v>
      </c>
      <c r="E2446" t="s">
        <v>45</v>
      </c>
      <c r="F2446" t="s">
        <v>26</v>
      </c>
      <c r="G2446" t="s">
        <v>21</v>
      </c>
      <c r="H2446">
        <v>5</v>
      </c>
      <c r="I2446">
        <v>47500</v>
      </c>
    </row>
    <row r="2447" spans="1:9" x14ac:dyDescent="0.3">
      <c r="A2447" s="1">
        <v>46157</v>
      </c>
      <c r="B2447">
        <v>2026</v>
      </c>
      <c r="C2447">
        <v>5</v>
      </c>
      <c r="D2447" t="s">
        <v>44</v>
      </c>
      <c r="E2447" t="s">
        <v>45</v>
      </c>
      <c r="F2447" t="s">
        <v>26</v>
      </c>
      <c r="G2447" t="s">
        <v>21</v>
      </c>
      <c r="H2447">
        <v>5</v>
      </c>
      <c r="I2447">
        <v>47500</v>
      </c>
    </row>
    <row r="2448" spans="1:9" x14ac:dyDescent="0.3">
      <c r="A2448" s="1">
        <v>46168</v>
      </c>
      <c r="B2448">
        <v>2026</v>
      </c>
      <c r="C2448">
        <v>5</v>
      </c>
      <c r="D2448" t="s">
        <v>40</v>
      </c>
      <c r="E2448" t="s">
        <v>41</v>
      </c>
      <c r="F2448" t="s">
        <v>26</v>
      </c>
      <c r="G2448" t="s">
        <v>21</v>
      </c>
      <c r="H2448">
        <v>1</v>
      </c>
      <c r="I2448">
        <v>9500</v>
      </c>
    </row>
    <row r="2449" spans="1:9" x14ac:dyDescent="0.3">
      <c r="A2449" s="1">
        <v>46311</v>
      </c>
      <c r="B2449">
        <v>2026</v>
      </c>
      <c r="C2449">
        <v>10</v>
      </c>
      <c r="D2449" t="s">
        <v>42</v>
      </c>
      <c r="E2449" t="s">
        <v>43</v>
      </c>
      <c r="F2449" t="s">
        <v>26</v>
      </c>
      <c r="G2449" t="s">
        <v>21</v>
      </c>
      <c r="H2449">
        <v>5</v>
      </c>
      <c r="I2449">
        <v>47500</v>
      </c>
    </row>
    <row r="2450" spans="1:9" x14ac:dyDescent="0.3">
      <c r="A2450" s="1">
        <v>46051</v>
      </c>
      <c r="B2450">
        <v>2026</v>
      </c>
      <c r="C2450">
        <v>1</v>
      </c>
      <c r="D2450" t="s">
        <v>42</v>
      </c>
      <c r="E2450" t="s">
        <v>43</v>
      </c>
      <c r="F2450" t="s">
        <v>26</v>
      </c>
      <c r="G2450" t="s">
        <v>21</v>
      </c>
      <c r="H2450">
        <v>4</v>
      </c>
      <c r="I2450">
        <v>38000</v>
      </c>
    </row>
    <row r="2451" spans="1:9" x14ac:dyDescent="0.3">
      <c r="A2451" s="1">
        <v>46149</v>
      </c>
      <c r="B2451">
        <v>2026</v>
      </c>
      <c r="C2451">
        <v>5</v>
      </c>
      <c r="D2451" t="s">
        <v>48</v>
      </c>
      <c r="E2451" t="s">
        <v>43</v>
      </c>
      <c r="F2451" t="s">
        <v>26</v>
      </c>
      <c r="G2451" t="s">
        <v>21</v>
      </c>
      <c r="H2451">
        <v>3</v>
      </c>
      <c r="I2451">
        <v>28500</v>
      </c>
    </row>
    <row r="2452" spans="1:9" x14ac:dyDescent="0.3">
      <c r="A2452" s="1">
        <v>46205</v>
      </c>
      <c r="B2452">
        <v>2026</v>
      </c>
      <c r="C2452">
        <v>7</v>
      </c>
      <c r="D2452" t="s">
        <v>49</v>
      </c>
      <c r="E2452" t="s">
        <v>47</v>
      </c>
      <c r="F2452" t="s">
        <v>26</v>
      </c>
      <c r="G2452" t="s">
        <v>21</v>
      </c>
      <c r="H2452">
        <v>4</v>
      </c>
      <c r="I2452">
        <v>38000</v>
      </c>
    </row>
    <row r="2453" spans="1:9" x14ac:dyDescent="0.3">
      <c r="A2453" s="1">
        <v>46111</v>
      </c>
      <c r="B2453">
        <v>2026</v>
      </c>
      <c r="C2453">
        <v>3</v>
      </c>
      <c r="D2453" t="s">
        <v>40</v>
      </c>
      <c r="E2453" t="s">
        <v>41</v>
      </c>
      <c r="F2453" t="s">
        <v>26</v>
      </c>
      <c r="G2453" t="s">
        <v>21</v>
      </c>
      <c r="H2453">
        <v>4</v>
      </c>
      <c r="I2453">
        <v>38000</v>
      </c>
    </row>
    <row r="2454" spans="1:9" x14ac:dyDescent="0.3">
      <c r="A2454" s="1">
        <v>46297</v>
      </c>
      <c r="B2454">
        <v>2026</v>
      </c>
      <c r="C2454">
        <v>10</v>
      </c>
      <c r="D2454" t="s">
        <v>44</v>
      </c>
      <c r="E2454" t="s">
        <v>45</v>
      </c>
      <c r="F2454" t="s">
        <v>26</v>
      </c>
      <c r="G2454" t="s">
        <v>21</v>
      </c>
      <c r="H2454">
        <v>2</v>
      </c>
      <c r="I2454">
        <v>19000</v>
      </c>
    </row>
    <row r="2455" spans="1:9" x14ac:dyDescent="0.3">
      <c r="A2455" s="1">
        <v>46292</v>
      </c>
      <c r="B2455">
        <v>2026</v>
      </c>
      <c r="C2455">
        <v>9</v>
      </c>
      <c r="D2455" t="s">
        <v>42</v>
      </c>
      <c r="E2455" t="s">
        <v>43</v>
      </c>
      <c r="F2455" t="s">
        <v>26</v>
      </c>
      <c r="G2455" t="s">
        <v>21</v>
      </c>
      <c r="H2455">
        <v>3</v>
      </c>
      <c r="I2455">
        <v>28500</v>
      </c>
    </row>
    <row r="2456" spans="1:9" x14ac:dyDescent="0.3">
      <c r="A2456" s="1">
        <v>46179</v>
      </c>
      <c r="B2456">
        <v>2026</v>
      </c>
      <c r="C2456">
        <v>6</v>
      </c>
      <c r="D2456" t="s">
        <v>48</v>
      </c>
      <c r="E2456" t="s">
        <v>43</v>
      </c>
      <c r="F2456" t="s">
        <v>26</v>
      </c>
      <c r="G2456" t="s">
        <v>21</v>
      </c>
      <c r="H2456">
        <v>5</v>
      </c>
      <c r="I2456">
        <v>47500</v>
      </c>
    </row>
    <row r="2457" spans="1:9" x14ac:dyDescent="0.3">
      <c r="A2457" s="1">
        <v>46250</v>
      </c>
      <c r="B2457">
        <v>2026</v>
      </c>
      <c r="C2457">
        <v>8</v>
      </c>
      <c r="D2457" t="s">
        <v>46</v>
      </c>
      <c r="E2457" t="s">
        <v>47</v>
      </c>
      <c r="F2457" t="s">
        <v>26</v>
      </c>
      <c r="G2457" t="s">
        <v>21</v>
      </c>
      <c r="H2457">
        <v>5</v>
      </c>
      <c r="I2457">
        <v>47500</v>
      </c>
    </row>
    <row r="2458" spans="1:9" x14ac:dyDescent="0.3">
      <c r="A2458" s="1">
        <v>46251</v>
      </c>
      <c r="B2458">
        <v>2026</v>
      </c>
      <c r="C2458">
        <v>8</v>
      </c>
      <c r="D2458" t="s">
        <v>44</v>
      </c>
      <c r="E2458" t="s">
        <v>45</v>
      </c>
      <c r="F2458" t="s">
        <v>26</v>
      </c>
      <c r="G2458" t="s">
        <v>21</v>
      </c>
      <c r="H2458">
        <v>4</v>
      </c>
      <c r="I2458">
        <v>38000</v>
      </c>
    </row>
    <row r="2459" spans="1:9" x14ac:dyDescent="0.3">
      <c r="A2459" s="1">
        <v>46161</v>
      </c>
      <c r="B2459">
        <v>2026</v>
      </c>
      <c r="C2459">
        <v>5</v>
      </c>
      <c r="D2459" t="s">
        <v>51</v>
      </c>
      <c r="E2459" t="s">
        <v>45</v>
      </c>
      <c r="F2459" t="s">
        <v>26</v>
      </c>
      <c r="G2459" t="s">
        <v>21</v>
      </c>
      <c r="H2459">
        <v>2</v>
      </c>
      <c r="I2459">
        <v>19000</v>
      </c>
    </row>
    <row r="2460" spans="1:9" x14ac:dyDescent="0.3">
      <c r="A2460" s="1">
        <v>46079</v>
      </c>
      <c r="B2460">
        <v>2026</v>
      </c>
      <c r="C2460">
        <v>2</v>
      </c>
      <c r="D2460" t="s">
        <v>51</v>
      </c>
      <c r="E2460" t="s">
        <v>45</v>
      </c>
      <c r="F2460" t="s">
        <v>26</v>
      </c>
      <c r="G2460" t="s">
        <v>21</v>
      </c>
      <c r="H2460">
        <v>4</v>
      </c>
      <c r="I2460">
        <v>38000</v>
      </c>
    </row>
    <row r="2461" spans="1:9" x14ac:dyDescent="0.3">
      <c r="A2461" s="1">
        <v>46278</v>
      </c>
      <c r="B2461">
        <v>2026</v>
      </c>
      <c r="C2461">
        <v>9</v>
      </c>
      <c r="D2461" t="s">
        <v>51</v>
      </c>
      <c r="E2461" t="s">
        <v>45</v>
      </c>
      <c r="F2461" t="s">
        <v>26</v>
      </c>
      <c r="G2461" t="s">
        <v>21</v>
      </c>
      <c r="H2461">
        <v>5</v>
      </c>
      <c r="I2461">
        <v>47500</v>
      </c>
    </row>
    <row r="2462" spans="1:9" x14ac:dyDescent="0.3">
      <c r="A2462" s="1">
        <v>46054</v>
      </c>
      <c r="B2462">
        <v>2026</v>
      </c>
      <c r="C2462">
        <v>2</v>
      </c>
      <c r="D2462" t="s">
        <v>51</v>
      </c>
      <c r="E2462" t="s">
        <v>45</v>
      </c>
      <c r="F2462" t="s">
        <v>26</v>
      </c>
      <c r="G2462" t="s">
        <v>21</v>
      </c>
      <c r="H2462">
        <v>3</v>
      </c>
      <c r="I2462">
        <v>28500</v>
      </c>
    </row>
    <row r="2463" spans="1:9" x14ac:dyDescent="0.3">
      <c r="A2463" s="1">
        <v>46308</v>
      </c>
      <c r="B2463">
        <v>2026</v>
      </c>
      <c r="C2463">
        <v>10</v>
      </c>
      <c r="D2463" t="s">
        <v>42</v>
      </c>
      <c r="E2463" t="s">
        <v>43</v>
      </c>
      <c r="F2463" t="s">
        <v>26</v>
      </c>
      <c r="G2463" t="s">
        <v>21</v>
      </c>
      <c r="H2463">
        <v>5</v>
      </c>
      <c r="I2463">
        <v>47500</v>
      </c>
    </row>
    <row r="2464" spans="1:9" x14ac:dyDescent="0.3">
      <c r="A2464" s="1">
        <v>46226</v>
      </c>
      <c r="B2464">
        <v>2026</v>
      </c>
      <c r="C2464">
        <v>7</v>
      </c>
      <c r="D2464" t="s">
        <v>51</v>
      </c>
      <c r="E2464" t="s">
        <v>45</v>
      </c>
      <c r="F2464" t="s">
        <v>26</v>
      </c>
      <c r="G2464" t="s">
        <v>21</v>
      </c>
      <c r="H2464">
        <v>4</v>
      </c>
      <c r="I2464">
        <v>38000</v>
      </c>
    </row>
    <row r="2465" spans="1:9" x14ac:dyDescent="0.3">
      <c r="A2465" s="1">
        <v>46233</v>
      </c>
      <c r="B2465">
        <v>2026</v>
      </c>
      <c r="C2465">
        <v>7</v>
      </c>
      <c r="D2465" t="s">
        <v>40</v>
      </c>
      <c r="E2465" t="s">
        <v>41</v>
      </c>
      <c r="F2465" t="s">
        <v>26</v>
      </c>
      <c r="G2465" t="s">
        <v>21</v>
      </c>
      <c r="H2465">
        <v>5</v>
      </c>
      <c r="I2465">
        <v>47500</v>
      </c>
    </row>
    <row r="2466" spans="1:9" x14ac:dyDescent="0.3">
      <c r="A2466" s="1">
        <v>46302</v>
      </c>
      <c r="B2466">
        <v>2026</v>
      </c>
      <c r="C2466">
        <v>10</v>
      </c>
      <c r="D2466" t="s">
        <v>42</v>
      </c>
      <c r="E2466" t="s">
        <v>43</v>
      </c>
      <c r="F2466" t="s">
        <v>26</v>
      </c>
      <c r="G2466" t="s">
        <v>21</v>
      </c>
      <c r="H2466">
        <v>1</v>
      </c>
      <c r="I2466">
        <v>9500</v>
      </c>
    </row>
    <row r="2467" spans="1:9" x14ac:dyDescent="0.3">
      <c r="A2467" s="1">
        <v>46126</v>
      </c>
      <c r="B2467">
        <v>2026</v>
      </c>
      <c r="C2467">
        <v>4</v>
      </c>
      <c r="D2467" t="s">
        <v>51</v>
      </c>
      <c r="E2467" t="s">
        <v>45</v>
      </c>
      <c r="F2467" t="s">
        <v>26</v>
      </c>
      <c r="G2467" t="s">
        <v>21</v>
      </c>
      <c r="H2467">
        <v>1</v>
      </c>
      <c r="I2467">
        <v>9500</v>
      </c>
    </row>
    <row r="2468" spans="1:9" x14ac:dyDescent="0.3">
      <c r="A2468" s="1">
        <v>46193</v>
      </c>
      <c r="B2468">
        <v>2026</v>
      </c>
      <c r="C2468">
        <v>6</v>
      </c>
      <c r="D2468" t="s">
        <v>48</v>
      </c>
      <c r="E2468" t="s">
        <v>43</v>
      </c>
      <c r="F2468" t="s">
        <v>26</v>
      </c>
      <c r="G2468" t="s">
        <v>21</v>
      </c>
      <c r="H2468">
        <v>3</v>
      </c>
      <c r="I2468">
        <v>28500</v>
      </c>
    </row>
    <row r="2469" spans="1:9" x14ac:dyDescent="0.3">
      <c r="A2469" s="1">
        <v>46194</v>
      </c>
      <c r="B2469">
        <v>2026</v>
      </c>
      <c r="C2469">
        <v>6</v>
      </c>
      <c r="D2469" t="s">
        <v>40</v>
      </c>
      <c r="E2469" t="s">
        <v>41</v>
      </c>
      <c r="F2469" t="s">
        <v>26</v>
      </c>
      <c r="G2469" t="s">
        <v>21</v>
      </c>
      <c r="H2469">
        <v>1</v>
      </c>
      <c r="I2469">
        <v>9500</v>
      </c>
    </row>
    <row r="2470" spans="1:9" x14ac:dyDescent="0.3">
      <c r="A2470" s="1">
        <v>46240</v>
      </c>
      <c r="B2470">
        <v>2026</v>
      </c>
      <c r="C2470">
        <v>8</v>
      </c>
      <c r="D2470" t="s">
        <v>48</v>
      </c>
      <c r="E2470" t="s">
        <v>43</v>
      </c>
      <c r="F2470" t="s">
        <v>26</v>
      </c>
      <c r="G2470" t="s">
        <v>21</v>
      </c>
      <c r="H2470">
        <v>5</v>
      </c>
      <c r="I2470">
        <v>47500</v>
      </c>
    </row>
    <row r="2471" spans="1:9" x14ac:dyDescent="0.3">
      <c r="A2471" s="1">
        <v>46290</v>
      </c>
      <c r="B2471">
        <v>2026</v>
      </c>
      <c r="C2471">
        <v>9</v>
      </c>
      <c r="D2471" t="s">
        <v>51</v>
      </c>
      <c r="E2471" t="s">
        <v>45</v>
      </c>
      <c r="F2471" t="s">
        <v>26</v>
      </c>
      <c r="G2471" t="s">
        <v>21</v>
      </c>
      <c r="H2471">
        <v>4</v>
      </c>
      <c r="I2471">
        <v>38000</v>
      </c>
    </row>
    <row r="2472" spans="1:9" x14ac:dyDescent="0.3">
      <c r="A2472" s="1">
        <v>46266</v>
      </c>
      <c r="B2472">
        <v>2026</v>
      </c>
      <c r="C2472">
        <v>9</v>
      </c>
      <c r="D2472" t="s">
        <v>46</v>
      </c>
      <c r="E2472" t="s">
        <v>47</v>
      </c>
      <c r="F2472" t="s">
        <v>26</v>
      </c>
      <c r="G2472" t="s">
        <v>21</v>
      </c>
      <c r="H2472">
        <v>4</v>
      </c>
      <c r="I2472">
        <v>38000</v>
      </c>
    </row>
    <row r="2473" spans="1:9" x14ac:dyDescent="0.3">
      <c r="A2473" s="1">
        <v>46136</v>
      </c>
      <c r="B2473">
        <v>2026</v>
      </c>
      <c r="C2473">
        <v>4</v>
      </c>
      <c r="D2473" t="s">
        <v>44</v>
      </c>
      <c r="E2473" t="s">
        <v>45</v>
      </c>
      <c r="F2473" t="s">
        <v>26</v>
      </c>
      <c r="G2473" t="s">
        <v>21</v>
      </c>
      <c r="H2473">
        <v>3</v>
      </c>
      <c r="I2473">
        <v>28500</v>
      </c>
    </row>
    <row r="2474" spans="1:9" x14ac:dyDescent="0.3">
      <c r="A2474" s="1">
        <v>46286</v>
      </c>
      <c r="B2474">
        <v>2026</v>
      </c>
      <c r="C2474">
        <v>9</v>
      </c>
      <c r="D2474" t="s">
        <v>40</v>
      </c>
      <c r="E2474" t="s">
        <v>41</v>
      </c>
      <c r="F2474" t="s">
        <v>26</v>
      </c>
      <c r="G2474" t="s">
        <v>21</v>
      </c>
      <c r="H2474">
        <v>4</v>
      </c>
      <c r="I2474">
        <v>38000</v>
      </c>
    </row>
    <row r="2475" spans="1:9" x14ac:dyDescent="0.3">
      <c r="A2475" s="1">
        <v>46139</v>
      </c>
      <c r="B2475">
        <v>2026</v>
      </c>
      <c r="C2475">
        <v>4</v>
      </c>
      <c r="D2475" t="s">
        <v>40</v>
      </c>
      <c r="E2475" t="s">
        <v>41</v>
      </c>
      <c r="F2475" t="s">
        <v>26</v>
      </c>
      <c r="G2475" t="s">
        <v>21</v>
      </c>
      <c r="H2475">
        <v>3</v>
      </c>
      <c r="I2475">
        <v>28500</v>
      </c>
    </row>
    <row r="2476" spans="1:9" x14ac:dyDescent="0.3">
      <c r="A2476" s="1">
        <v>46233</v>
      </c>
      <c r="B2476">
        <v>2026</v>
      </c>
      <c r="C2476">
        <v>7</v>
      </c>
      <c r="D2476" t="s">
        <v>42</v>
      </c>
      <c r="E2476" t="s">
        <v>43</v>
      </c>
      <c r="F2476" t="s">
        <v>26</v>
      </c>
      <c r="G2476" t="s">
        <v>21</v>
      </c>
      <c r="H2476">
        <v>1</v>
      </c>
      <c r="I2476">
        <v>9500</v>
      </c>
    </row>
    <row r="2477" spans="1:9" x14ac:dyDescent="0.3">
      <c r="A2477" s="1">
        <v>46040</v>
      </c>
      <c r="B2477">
        <v>2026</v>
      </c>
      <c r="C2477">
        <v>1</v>
      </c>
      <c r="D2477" t="s">
        <v>51</v>
      </c>
      <c r="E2477" t="s">
        <v>45</v>
      </c>
      <c r="F2477" t="s">
        <v>28</v>
      </c>
      <c r="G2477" t="s">
        <v>29</v>
      </c>
      <c r="H2477">
        <v>5</v>
      </c>
      <c r="I2477">
        <v>15000</v>
      </c>
    </row>
    <row r="2478" spans="1:9" x14ac:dyDescent="0.3">
      <c r="A2478" s="1">
        <v>46200</v>
      </c>
      <c r="B2478">
        <v>2026</v>
      </c>
      <c r="C2478">
        <v>6</v>
      </c>
      <c r="D2478" t="s">
        <v>50</v>
      </c>
      <c r="E2478" t="s">
        <v>41</v>
      </c>
      <c r="F2478" t="s">
        <v>28</v>
      </c>
      <c r="G2478" t="s">
        <v>29</v>
      </c>
      <c r="H2478">
        <v>4</v>
      </c>
      <c r="I2478">
        <v>12000</v>
      </c>
    </row>
    <row r="2479" spans="1:9" x14ac:dyDescent="0.3">
      <c r="A2479" s="1">
        <v>46147</v>
      </c>
      <c r="B2479">
        <v>2026</v>
      </c>
      <c r="C2479">
        <v>5</v>
      </c>
      <c r="D2479" t="s">
        <v>49</v>
      </c>
      <c r="E2479" t="s">
        <v>47</v>
      </c>
      <c r="F2479" t="s">
        <v>28</v>
      </c>
      <c r="G2479" t="s">
        <v>29</v>
      </c>
      <c r="H2479">
        <v>3</v>
      </c>
      <c r="I2479">
        <v>9000</v>
      </c>
    </row>
    <row r="2480" spans="1:9" x14ac:dyDescent="0.3">
      <c r="A2480" s="1">
        <v>46174</v>
      </c>
      <c r="B2480">
        <v>2026</v>
      </c>
      <c r="C2480">
        <v>6</v>
      </c>
      <c r="D2480" t="s">
        <v>48</v>
      </c>
      <c r="E2480" t="s">
        <v>43</v>
      </c>
      <c r="F2480" t="s">
        <v>28</v>
      </c>
      <c r="G2480" t="s">
        <v>29</v>
      </c>
      <c r="H2480">
        <v>4</v>
      </c>
      <c r="I2480">
        <v>12000</v>
      </c>
    </row>
    <row r="2481" spans="1:9" x14ac:dyDescent="0.3">
      <c r="A2481" s="1">
        <v>46201</v>
      </c>
      <c r="B2481">
        <v>2026</v>
      </c>
      <c r="C2481">
        <v>6</v>
      </c>
      <c r="D2481" t="s">
        <v>48</v>
      </c>
      <c r="E2481" t="s">
        <v>43</v>
      </c>
      <c r="F2481" t="s">
        <v>28</v>
      </c>
      <c r="G2481" t="s">
        <v>29</v>
      </c>
      <c r="H2481">
        <v>1</v>
      </c>
      <c r="I2481">
        <v>3000</v>
      </c>
    </row>
    <row r="2482" spans="1:9" x14ac:dyDescent="0.3">
      <c r="A2482" s="1">
        <v>46024</v>
      </c>
      <c r="B2482">
        <v>2026</v>
      </c>
      <c r="C2482">
        <v>1</v>
      </c>
      <c r="D2482" t="s">
        <v>49</v>
      </c>
      <c r="E2482" t="s">
        <v>47</v>
      </c>
      <c r="F2482" t="s">
        <v>28</v>
      </c>
      <c r="G2482" t="s">
        <v>29</v>
      </c>
      <c r="H2482">
        <v>1</v>
      </c>
      <c r="I2482">
        <v>3000</v>
      </c>
    </row>
    <row r="2483" spans="1:9" x14ac:dyDescent="0.3">
      <c r="A2483" s="1">
        <v>46140</v>
      </c>
      <c r="B2483">
        <v>2026</v>
      </c>
      <c r="C2483">
        <v>4</v>
      </c>
      <c r="D2483" t="s">
        <v>40</v>
      </c>
      <c r="E2483" t="s">
        <v>41</v>
      </c>
      <c r="F2483" t="s">
        <v>28</v>
      </c>
      <c r="G2483" t="s">
        <v>29</v>
      </c>
      <c r="H2483">
        <v>3</v>
      </c>
      <c r="I2483">
        <v>9000</v>
      </c>
    </row>
    <row r="2484" spans="1:9" x14ac:dyDescent="0.3">
      <c r="A2484" s="1">
        <v>46085</v>
      </c>
      <c r="B2484">
        <v>2026</v>
      </c>
      <c r="C2484">
        <v>3</v>
      </c>
      <c r="D2484" t="s">
        <v>51</v>
      </c>
      <c r="E2484" t="s">
        <v>45</v>
      </c>
      <c r="F2484" t="s">
        <v>28</v>
      </c>
      <c r="G2484" t="s">
        <v>29</v>
      </c>
      <c r="H2484">
        <v>2</v>
      </c>
      <c r="I2484">
        <v>6000</v>
      </c>
    </row>
    <row r="2485" spans="1:9" x14ac:dyDescent="0.3">
      <c r="A2485" s="1">
        <v>46285</v>
      </c>
      <c r="B2485">
        <v>2026</v>
      </c>
      <c r="C2485">
        <v>9</v>
      </c>
      <c r="D2485" t="s">
        <v>40</v>
      </c>
      <c r="E2485" t="s">
        <v>41</v>
      </c>
      <c r="F2485" t="s">
        <v>28</v>
      </c>
      <c r="G2485" t="s">
        <v>29</v>
      </c>
      <c r="H2485">
        <v>3</v>
      </c>
      <c r="I2485">
        <v>9000</v>
      </c>
    </row>
    <row r="2486" spans="1:9" x14ac:dyDescent="0.3">
      <c r="A2486" s="1">
        <v>46135</v>
      </c>
      <c r="B2486">
        <v>2026</v>
      </c>
      <c r="C2486">
        <v>4</v>
      </c>
      <c r="D2486" t="s">
        <v>42</v>
      </c>
      <c r="E2486" t="s">
        <v>43</v>
      </c>
      <c r="F2486" t="s">
        <v>28</v>
      </c>
      <c r="G2486" t="s">
        <v>29</v>
      </c>
      <c r="H2486">
        <v>5</v>
      </c>
      <c r="I2486">
        <v>15000</v>
      </c>
    </row>
    <row r="2487" spans="1:9" x14ac:dyDescent="0.3">
      <c r="A2487" s="1">
        <v>46120</v>
      </c>
      <c r="B2487">
        <v>2026</v>
      </c>
      <c r="C2487">
        <v>4</v>
      </c>
      <c r="D2487" t="s">
        <v>49</v>
      </c>
      <c r="E2487" t="s">
        <v>47</v>
      </c>
      <c r="F2487" t="s">
        <v>28</v>
      </c>
      <c r="G2487" t="s">
        <v>29</v>
      </c>
      <c r="H2487">
        <v>3</v>
      </c>
      <c r="I2487">
        <v>9000</v>
      </c>
    </row>
    <row r="2488" spans="1:9" x14ac:dyDescent="0.3">
      <c r="A2488" s="1">
        <v>46270</v>
      </c>
      <c r="B2488">
        <v>2026</v>
      </c>
      <c r="C2488">
        <v>9</v>
      </c>
      <c r="D2488" t="s">
        <v>44</v>
      </c>
      <c r="E2488" t="s">
        <v>45</v>
      </c>
      <c r="F2488" t="s">
        <v>28</v>
      </c>
      <c r="G2488" t="s">
        <v>29</v>
      </c>
      <c r="H2488">
        <v>1</v>
      </c>
      <c r="I2488">
        <v>3000</v>
      </c>
    </row>
    <row r="2489" spans="1:9" x14ac:dyDescent="0.3">
      <c r="A2489" s="1">
        <v>46214</v>
      </c>
      <c r="B2489">
        <v>2026</v>
      </c>
      <c r="C2489">
        <v>7</v>
      </c>
      <c r="D2489" t="s">
        <v>44</v>
      </c>
      <c r="E2489" t="s">
        <v>45</v>
      </c>
      <c r="F2489" t="s">
        <v>28</v>
      </c>
      <c r="G2489" t="s">
        <v>29</v>
      </c>
      <c r="H2489">
        <v>3</v>
      </c>
      <c r="I2489">
        <v>9000</v>
      </c>
    </row>
    <row r="2490" spans="1:9" x14ac:dyDescent="0.3">
      <c r="A2490" s="1">
        <v>46322</v>
      </c>
      <c r="B2490">
        <v>2026</v>
      </c>
      <c r="C2490">
        <v>10</v>
      </c>
      <c r="D2490" t="s">
        <v>50</v>
      </c>
      <c r="E2490" t="s">
        <v>41</v>
      </c>
      <c r="F2490" t="s">
        <v>28</v>
      </c>
      <c r="G2490" t="s">
        <v>29</v>
      </c>
      <c r="H2490">
        <v>4</v>
      </c>
      <c r="I2490">
        <v>12000</v>
      </c>
    </row>
    <row r="2491" spans="1:9" x14ac:dyDescent="0.3">
      <c r="A2491" s="1">
        <v>46219</v>
      </c>
      <c r="B2491">
        <v>2026</v>
      </c>
      <c r="C2491">
        <v>7</v>
      </c>
      <c r="D2491" t="s">
        <v>51</v>
      </c>
      <c r="E2491" t="s">
        <v>45</v>
      </c>
      <c r="F2491" t="s">
        <v>28</v>
      </c>
      <c r="G2491" t="s">
        <v>29</v>
      </c>
      <c r="H2491">
        <v>4</v>
      </c>
      <c r="I2491">
        <v>12000</v>
      </c>
    </row>
    <row r="2492" spans="1:9" x14ac:dyDescent="0.3">
      <c r="A2492" s="1">
        <v>46137</v>
      </c>
      <c r="B2492">
        <v>2026</v>
      </c>
      <c r="C2492">
        <v>4</v>
      </c>
      <c r="D2492" t="s">
        <v>44</v>
      </c>
      <c r="E2492" t="s">
        <v>45</v>
      </c>
      <c r="F2492" t="s">
        <v>28</v>
      </c>
      <c r="G2492" t="s">
        <v>29</v>
      </c>
      <c r="H2492">
        <v>5</v>
      </c>
      <c r="I2492">
        <v>15000</v>
      </c>
    </row>
    <row r="2493" spans="1:9" x14ac:dyDescent="0.3">
      <c r="A2493" s="1">
        <v>46142</v>
      </c>
      <c r="B2493">
        <v>2026</v>
      </c>
      <c r="C2493">
        <v>4</v>
      </c>
      <c r="D2493" t="s">
        <v>48</v>
      </c>
      <c r="E2493" t="s">
        <v>43</v>
      </c>
      <c r="F2493" t="s">
        <v>28</v>
      </c>
      <c r="G2493" t="s">
        <v>29</v>
      </c>
      <c r="H2493">
        <v>2</v>
      </c>
      <c r="I2493">
        <v>6000</v>
      </c>
    </row>
    <row r="2494" spans="1:9" x14ac:dyDescent="0.3">
      <c r="A2494" s="1">
        <v>46038</v>
      </c>
      <c r="B2494">
        <v>2026</v>
      </c>
      <c r="C2494">
        <v>1</v>
      </c>
      <c r="D2494" t="s">
        <v>40</v>
      </c>
      <c r="E2494" t="s">
        <v>41</v>
      </c>
      <c r="F2494" t="s">
        <v>28</v>
      </c>
      <c r="G2494" t="s">
        <v>29</v>
      </c>
      <c r="H2494">
        <v>3</v>
      </c>
      <c r="I2494">
        <v>9000</v>
      </c>
    </row>
    <row r="2495" spans="1:9" x14ac:dyDescent="0.3">
      <c r="A2495" s="1">
        <v>46284</v>
      </c>
      <c r="B2495">
        <v>2026</v>
      </c>
      <c r="C2495">
        <v>9</v>
      </c>
      <c r="D2495" t="s">
        <v>49</v>
      </c>
      <c r="E2495" t="s">
        <v>47</v>
      </c>
      <c r="F2495" t="s">
        <v>28</v>
      </c>
      <c r="G2495" t="s">
        <v>29</v>
      </c>
      <c r="H2495">
        <v>3</v>
      </c>
      <c r="I2495">
        <v>9000</v>
      </c>
    </row>
    <row r="2496" spans="1:9" x14ac:dyDescent="0.3">
      <c r="A2496" s="1">
        <v>46137</v>
      </c>
      <c r="B2496">
        <v>2026</v>
      </c>
      <c r="C2496">
        <v>4</v>
      </c>
      <c r="D2496" t="s">
        <v>49</v>
      </c>
      <c r="E2496" t="s">
        <v>47</v>
      </c>
      <c r="F2496" t="s">
        <v>28</v>
      </c>
      <c r="G2496" t="s">
        <v>29</v>
      </c>
      <c r="H2496">
        <v>2</v>
      </c>
      <c r="I2496">
        <v>6000</v>
      </c>
    </row>
    <row r="2497" spans="1:9" x14ac:dyDescent="0.3">
      <c r="A2497" s="1">
        <v>46150</v>
      </c>
      <c r="B2497">
        <v>2026</v>
      </c>
      <c r="C2497">
        <v>5</v>
      </c>
      <c r="D2497" t="s">
        <v>44</v>
      </c>
      <c r="E2497" t="s">
        <v>45</v>
      </c>
      <c r="F2497" t="s">
        <v>28</v>
      </c>
      <c r="G2497" t="s">
        <v>29</v>
      </c>
      <c r="H2497">
        <v>1</v>
      </c>
      <c r="I2497">
        <v>3000</v>
      </c>
    </row>
    <row r="2498" spans="1:9" x14ac:dyDescent="0.3">
      <c r="A2498" s="1">
        <v>46033</v>
      </c>
      <c r="B2498">
        <v>2026</v>
      </c>
      <c r="C2498">
        <v>1</v>
      </c>
      <c r="D2498" t="s">
        <v>50</v>
      </c>
      <c r="E2498" t="s">
        <v>41</v>
      </c>
      <c r="F2498" t="s">
        <v>28</v>
      </c>
      <c r="G2498" t="s">
        <v>29</v>
      </c>
      <c r="H2498">
        <v>1</v>
      </c>
      <c r="I2498">
        <v>3000</v>
      </c>
    </row>
    <row r="2499" spans="1:9" x14ac:dyDescent="0.3">
      <c r="A2499" s="1">
        <v>46091</v>
      </c>
      <c r="B2499">
        <v>2026</v>
      </c>
      <c r="C2499">
        <v>3</v>
      </c>
      <c r="D2499" t="s">
        <v>40</v>
      </c>
      <c r="E2499" t="s">
        <v>41</v>
      </c>
      <c r="F2499" t="s">
        <v>28</v>
      </c>
      <c r="G2499" t="s">
        <v>29</v>
      </c>
      <c r="H2499">
        <v>3</v>
      </c>
      <c r="I2499">
        <v>9000</v>
      </c>
    </row>
    <row r="2500" spans="1:9" x14ac:dyDescent="0.3">
      <c r="A2500" s="1">
        <v>46229</v>
      </c>
      <c r="B2500">
        <v>2026</v>
      </c>
      <c r="C2500">
        <v>7</v>
      </c>
      <c r="D2500" t="s">
        <v>42</v>
      </c>
      <c r="E2500" t="s">
        <v>43</v>
      </c>
      <c r="F2500" t="s">
        <v>28</v>
      </c>
      <c r="G2500" t="s">
        <v>29</v>
      </c>
      <c r="H2500">
        <v>2</v>
      </c>
      <c r="I2500">
        <v>6000</v>
      </c>
    </row>
    <row r="2501" spans="1:9" x14ac:dyDescent="0.3">
      <c r="A2501" s="1">
        <v>46232</v>
      </c>
      <c r="B2501">
        <v>2026</v>
      </c>
      <c r="C2501">
        <v>7</v>
      </c>
      <c r="D2501" t="s">
        <v>44</v>
      </c>
      <c r="E2501" t="s">
        <v>45</v>
      </c>
      <c r="F2501" t="s">
        <v>28</v>
      </c>
      <c r="G2501" t="s">
        <v>29</v>
      </c>
      <c r="H2501">
        <v>3</v>
      </c>
      <c r="I2501">
        <v>9000</v>
      </c>
    </row>
    <row r="2502" spans="1:9" x14ac:dyDescent="0.3">
      <c r="A2502" s="1">
        <v>46081</v>
      </c>
      <c r="B2502">
        <v>2026</v>
      </c>
      <c r="C2502">
        <v>2</v>
      </c>
      <c r="D2502" t="s">
        <v>50</v>
      </c>
      <c r="E2502" t="s">
        <v>41</v>
      </c>
      <c r="F2502" t="s">
        <v>28</v>
      </c>
      <c r="G2502" t="s">
        <v>29</v>
      </c>
      <c r="H2502">
        <v>4</v>
      </c>
      <c r="I2502">
        <v>12000</v>
      </c>
    </row>
    <row r="2503" spans="1:9" x14ac:dyDescent="0.3">
      <c r="A2503" s="1">
        <v>46058</v>
      </c>
      <c r="B2503">
        <v>2026</v>
      </c>
      <c r="C2503">
        <v>2</v>
      </c>
      <c r="D2503" t="s">
        <v>46</v>
      </c>
      <c r="E2503" t="s">
        <v>47</v>
      </c>
      <c r="F2503" t="s">
        <v>28</v>
      </c>
      <c r="G2503" t="s">
        <v>29</v>
      </c>
      <c r="H2503">
        <v>1</v>
      </c>
      <c r="I2503">
        <v>3000</v>
      </c>
    </row>
    <row r="2504" spans="1:9" x14ac:dyDescent="0.3">
      <c r="A2504" s="1">
        <v>46090</v>
      </c>
      <c r="B2504">
        <v>2026</v>
      </c>
      <c r="C2504">
        <v>3</v>
      </c>
      <c r="D2504" t="s">
        <v>40</v>
      </c>
      <c r="E2504" t="s">
        <v>41</v>
      </c>
      <c r="F2504" t="s">
        <v>28</v>
      </c>
      <c r="G2504" t="s">
        <v>29</v>
      </c>
      <c r="H2504">
        <v>1</v>
      </c>
      <c r="I2504">
        <v>3000</v>
      </c>
    </row>
    <row r="2505" spans="1:9" x14ac:dyDescent="0.3">
      <c r="A2505" s="1">
        <v>46250</v>
      </c>
      <c r="B2505">
        <v>2026</v>
      </c>
      <c r="C2505">
        <v>8</v>
      </c>
      <c r="D2505" t="s">
        <v>50</v>
      </c>
      <c r="E2505" t="s">
        <v>41</v>
      </c>
      <c r="F2505" t="s">
        <v>28</v>
      </c>
      <c r="G2505" t="s">
        <v>29</v>
      </c>
      <c r="H2505">
        <v>5</v>
      </c>
      <c r="I2505">
        <v>15000</v>
      </c>
    </row>
    <row r="2506" spans="1:9" x14ac:dyDescent="0.3">
      <c r="A2506" s="1">
        <v>46111</v>
      </c>
      <c r="B2506">
        <v>2026</v>
      </c>
      <c r="C2506">
        <v>3</v>
      </c>
      <c r="D2506" t="s">
        <v>49</v>
      </c>
      <c r="E2506" t="s">
        <v>47</v>
      </c>
      <c r="F2506" t="s">
        <v>28</v>
      </c>
      <c r="G2506" t="s">
        <v>29</v>
      </c>
      <c r="H2506">
        <v>4</v>
      </c>
      <c r="I2506">
        <v>12000</v>
      </c>
    </row>
    <row r="2507" spans="1:9" x14ac:dyDescent="0.3">
      <c r="A2507" s="1">
        <v>46271</v>
      </c>
      <c r="B2507">
        <v>2026</v>
      </c>
      <c r="C2507">
        <v>9</v>
      </c>
      <c r="D2507" t="s">
        <v>40</v>
      </c>
      <c r="E2507" t="s">
        <v>41</v>
      </c>
      <c r="F2507" t="s">
        <v>28</v>
      </c>
      <c r="G2507" t="s">
        <v>29</v>
      </c>
      <c r="H2507">
        <v>5</v>
      </c>
      <c r="I2507">
        <v>15000</v>
      </c>
    </row>
    <row r="2508" spans="1:9" x14ac:dyDescent="0.3">
      <c r="A2508" s="1">
        <v>46215</v>
      </c>
      <c r="B2508">
        <v>2026</v>
      </c>
      <c r="C2508">
        <v>7</v>
      </c>
      <c r="D2508" t="s">
        <v>46</v>
      </c>
      <c r="E2508" t="s">
        <v>47</v>
      </c>
      <c r="F2508" t="s">
        <v>28</v>
      </c>
      <c r="G2508" t="s">
        <v>29</v>
      </c>
      <c r="H2508">
        <v>2</v>
      </c>
      <c r="I2508">
        <v>6000</v>
      </c>
    </row>
    <row r="2509" spans="1:9" x14ac:dyDescent="0.3">
      <c r="A2509" s="1">
        <v>46125</v>
      </c>
      <c r="B2509">
        <v>2026</v>
      </c>
      <c r="C2509">
        <v>4</v>
      </c>
      <c r="D2509" t="s">
        <v>42</v>
      </c>
      <c r="E2509" t="s">
        <v>43</v>
      </c>
      <c r="F2509" t="s">
        <v>28</v>
      </c>
      <c r="G2509" t="s">
        <v>29</v>
      </c>
      <c r="H2509">
        <v>1</v>
      </c>
      <c r="I2509">
        <v>3000</v>
      </c>
    </row>
    <row r="2510" spans="1:9" x14ac:dyDescent="0.3">
      <c r="A2510" s="1">
        <v>46303</v>
      </c>
      <c r="B2510">
        <v>2026</v>
      </c>
      <c r="C2510">
        <v>10</v>
      </c>
      <c r="D2510" t="s">
        <v>40</v>
      </c>
      <c r="E2510" t="s">
        <v>41</v>
      </c>
      <c r="F2510" t="s">
        <v>28</v>
      </c>
      <c r="G2510" t="s">
        <v>29</v>
      </c>
      <c r="H2510">
        <v>3</v>
      </c>
      <c r="I2510">
        <v>9000</v>
      </c>
    </row>
    <row r="2511" spans="1:9" x14ac:dyDescent="0.3">
      <c r="A2511" s="1">
        <v>46125</v>
      </c>
      <c r="B2511">
        <v>2026</v>
      </c>
      <c r="C2511">
        <v>4</v>
      </c>
      <c r="D2511" t="s">
        <v>48</v>
      </c>
      <c r="E2511" t="s">
        <v>43</v>
      </c>
      <c r="F2511" t="s">
        <v>28</v>
      </c>
      <c r="G2511" t="s">
        <v>29</v>
      </c>
      <c r="H2511">
        <v>5</v>
      </c>
      <c r="I2511">
        <v>15000</v>
      </c>
    </row>
    <row r="2512" spans="1:9" x14ac:dyDescent="0.3">
      <c r="A2512" s="1">
        <v>46074</v>
      </c>
      <c r="B2512">
        <v>2026</v>
      </c>
      <c r="C2512">
        <v>2</v>
      </c>
      <c r="D2512" t="s">
        <v>49</v>
      </c>
      <c r="E2512" t="s">
        <v>47</v>
      </c>
      <c r="F2512" t="s">
        <v>28</v>
      </c>
      <c r="G2512" t="s">
        <v>29</v>
      </c>
      <c r="H2512">
        <v>2</v>
      </c>
      <c r="I2512">
        <v>6000</v>
      </c>
    </row>
    <row r="2513" spans="1:9" x14ac:dyDescent="0.3">
      <c r="A2513" s="1">
        <v>46141</v>
      </c>
      <c r="B2513">
        <v>2026</v>
      </c>
      <c r="C2513">
        <v>4</v>
      </c>
      <c r="D2513" t="s">
        <v>44</v>
      </c>
      <c r="E2513" t="s">
        <v>45</v>
      </c>
      <c r="F2513" t="s">
        <v>28</v>
      </c>
      <c r="G2513" t="s">
        <v>29</v>
      </c>
      <c r="H2513">
        <v>1</v>
      </c>
      <c r="I2513">
        <v>3000</v>
      </c>
    </row>
    <row r="2514" spans="1:9" x14ac:dyDescent="0.3">
      <c r="A2514" s="1">
        <v>46283</v>
      </c>
      <c r="B2514">
        <v>2026</v>
      </c>
      <c r="C2514">
        <v>9</v>
      </c>
      <c r="D2514" t="s">
        <v>44</v>
      </c>
      <c r="E2514" t="s">
        <v>45</v>
      </c>
      <c r="F2514" t="s">
        <v>28</v>
      </c>
      <c r="G2514" t="s">
        <v>29</v>
      </c>
      <c r="H2514">
        <v>2</v>
      </c>
      <c r="I2514">
        <v>6000</v>
      </c>
    </row>
    <row r="2515" spans="1:9" x14ac:dyDescent="0.3">
      <c r="A2515" s="1">
        <v>46024</v>
      </c>
      <c r="B2515">
        <v>2026</v>
      </c>
      <c r="C2515">
        <v>1</v>
      </c>
      <c r="D2515" t="s">
        <v>40</v>
      </c>
      <c r="E2515" t="s">
        <v>41</v>
      </c>
      <c r="F2515" t="s">
        <v>28</v>
      </c>
      <c r="G2515" t="s">
        <v>29</v>
      </c>
      <c r="H2515">
        <v>2</v>
      </c>
      <c r="I2515">
        <v>6000</v>
      </c>
    </row>
    <row r="2516" spans="1:9" x14ac:dyDescent="0.3">
      <c r="A2516" s="1">
        <v>46265</v>
      </c>
      <c r="B2516">
        <v>2026</v>
      </c>
      <c r="C2516">
        <v>8</v>
      </c>
      <c r="D2516" t="s">
        <v>50</v>
      </c>
      <c r="E2516" t="s">
        <v>41</v>
      </c>
      <c r="F2516" t="s">
        <v>28</v>
      </c>
      <c r="G2516" t="s">
        <v>29</v>
      </c>
      <c r="H2516">
        <v>5</v>
      </c>
      <c r="I2516">
        <v>15000</v>
      </c>
    </row>
    <row r="2517" spans="1:9" x14ac:dyDescent="0.3">
      <c r="A2517" s="1">
        <v>46134</v>
      </c>
      <c r="B2517">
        <v>2026</v>
      </c>
      <c r="C2517">
        <v>4</v>
      </c>
      <c r="D2517" t="s">
        <v>42</v>
      </c>
      <c r="E2517" t="s">
        <v>43</v>
      </c>
      <c r="F2517" t="s">
        <v>28</v>
      </c>
      <c r="G2517" t="s">
        <v>29</v>
      </c>
      <c r="H2517">
        <v>3</v>
      </c>
      <c r="I2517">
        <v>9000</v>
      </c>
    </row>
    <row r="2518" spans="1:9" x14ac:dyDescent="0.3">
      <c r="A2518" s="1">
        <v>46316</v>
      </c>
      <c r="B2518">
        <v>2026</v>
      </c>
      <c r="C2518">
        <v>10</v>
      </c>
      <c r="D2518" t="s">
        <v>40</v>
      </c>
      <c r="E2518" t="s">
        <v>41</v>
      </c>
      <c r="F2518" t="s">
        <v>28</v>
      </c>
      <c r="G2518" t="s">
        <v>29</v>
      </c>
      <c r="H2518">
        <v>2</v>
      </c>
      <c r="I2518">
        <v>6000</v>
      </c>
    </row>
    <row r="2519" spans="1:9" x14ac:dyDescent="0.3">
      <c r="A2519" s="1">
        <v>46283</v>
      </c>
      <c r="B2519">
        <v>2026</v>
      </c>
      <c r="C2519">
        <v>9</v>
      </c>
      <c r="D2519" t="s">
        <v>50</v>
      </c>
      <c r="E2519" t="s">
        <v>41</v>
      </c>
      <c r="F2519" t="s">
        <v>28</v>
      </c>
      <c r="G2519" t="s">
        <v>29</v>
      </c>
      <c r="H2519">
        <v>5</v>
      </c>
      <c r="I2519">
        <v>15000</v>
      </c>
    </row>
    <row r="2520" spans="1:9" x14ac:dyDescent="0.3">
      <c r="A2520" s="1">
        <v>46203</v>
      </c>
      <c r="B2520">
        <v>2026</v>
      </c>
      <c r="C2520">
        <v>6</v>
      </c>
      <c r="D2520" t="s">
        <v>44</v>
      </c>
      <c r="E2520" t="s">
        <v>45</v>
      </c>
      <c r="F2520" t="s">
        <v>28</v>
      </c>
      <c r="G2520" t="s">
        <v>29</v>
      </c>
      <c r="H2520">
        <v>2</v>
      </c>
      <c r="I2520">
        <v>6000</v>
      </c>
    </row>
    <row r="2521" spans="1:9" x14ac:dyDescent="0.3">
      <c r="A2521" s="1">
        <v>46267</v>
      </c>
      <c r="B2521">
        <v>2026</v>
      </c>
      <c r="C2521">
        <v>9</v>
      </c>
      <c r="D2521" t="s">
        <v>42</v>
      </c>
      <c r="E2521" t="s">
        <v>43</v>
      </c>
      <c r="F2521" t="s">
        <v>28</v>
      </c>
      <c r="G2521" t="s">
        <v>29</v>
      </c>
      <c r="H2521">
        <v>5</v>
      </c>
      <c r="I2521">
        <v>15000</v>
      </c>
    </row>
    <row r="2522" spans="1:9" x14ac:dyDescent="0.3">
      <c r="A2522" s="1">
        <v>46213</v>
      </c>
      <c r="B2522">
        <v>2026</v>
      </c>
      <c r="C2522">
        <v>7</v>
      </c>
      <c r="D2522" t="s">
        <v>48</v>
      </c>
      <c r="E2522" t="s">
        <v>43</v>
      </c>
      <c r="F2522" t="s">
        <v>28</v>
      </c>
      <c r="G2522" t="s">
        <v>29</v>
      </c>
      <c r="H2522">
        <v>1</v>
      </c>
      <c r="I2522">
        <v>3000</v>
      </c>
    </row>
    <row r="2523" spans="1:9" x14ac:dyDescent="0.3">
      <c r="A2523" s="1">
        <v>46255</v>
      </c>
      <c r="B2523">
        <v>2026</v>
      </c>
      <c r="C2523">
        <v>8</v>
      </c>
      <c r="D2523" t="s">
        <v>44</v>
      </c>
      <c r="E2523" t="s">
        <v>45</v>
      </c>
      <c r="F2523" t="s">
        <v>28</v>
      </c>
      <c r="G2523" t="s">
        <v>29</v>
      </c>
      <c r="H2523">
        <v>1</v>
      </c>
      <c r="I2523">
        <v>3000</v>
      </c>
    </row>
    <row r="2524" spans="1:9" x14ac:dyDescent="0.3">
      <c r="A2524" s="1">
        <v>46124</v>
      </c>
      <c r="B2524">
        <v>2026</v>
      </c>
      <c r="C2524">
        <v>4</v>
      </c>
      <c r="D2524" t="s">
        <v>48</v>
      </c>
      <c r="E2524" t="s">
        <v>43</v>
      </c>
      <c r="F2524" t="s">
        <v>28</v>
      </c>
      <c r="G2524" t="s">
        <v>29</v>
      </c>
      <c r="H2524">
        <v>2</v>
      </c>
      <c r="I2524">
        <v>6000</v>
      </c>
    </row>
    <row r="2525" spans="1:9" x14ac:dyDescent="0.3">
      <c r="A2525" s="1">
        <v>46163</v>
      </c>
      <c r="B2525">
        <v>2026</v>
      </c>
      <c r="C2525">
        <v>5</v>
      </c>
      <c r="D2525" t="s">
        <v>48</v>
      </c>
      <c r="E2525" t="s">
        <v>43</v>
      </c>
      <c r="F2525" t="s">
        <v>28</v>
      </c>
      <c r="G2525" t="s">
        <v>29</v>
      </c>
      <c r="H2525">
        <v>1</v>
      </c>
      <c r="I2525">
        <v>3000</v>
      </c>
    </row>
    <row r="2526" spans="1:9" x14ac:dyDescent="0.3">
      <c r="A2526" s="1">
        <v>46258</v>
      </c>
      <c r="B2526">
        <v>2026</v>
      </c>
      <c r="C2526">
        <v>8</v>
      </c>
      <c r="D2526" t="s">
        <v>48</v>
      </c>
      <c r="E2526" t="s">
        <v>43</v>
      </c>
      <c r="F2526" t="s">
        <v>28</v>
      </c>
      <c r="G2526" t="s">
        <v>29</v>
      </c>
      <c r="H2526">
        <v>4</v>
      </c>
      <c r="I2526">
        <v>12000</v>
      </c>
    </row>
    <row r="2527" spans="1:9" x14ac:dyDescent="0.3">
      <c r="A2527" s="1">
        <v>46295</v>
      </c>
      <c r="B2527">
        <v>2026</v>
      </c>
      <c r="C2527">
        <v>9</v>
      </c>
      <c r="D2527" t="s">
        <v>50</v>
      </c>
      <c r="E2527" t="s">
        <v>41</v>
      </c>
      <c r="F2527" t="s">
        <v>28</v>
      </c>
      <c r="G2527" t="s">
        <v>29</v>
      </c>
      <c r="H2527">
        <v>1</v>
      </c>
      <c r="I2527">
        <v>3000</v>
      </c>
    </row>
    <row r="2528" spans="1:9" x14ac:dyDescent="0.3">
      <c r="A2528" s="1">
        <v>46281</v>
      </c>
      <c r="B2528">
        <v>2026</v>
      </c>
      <c r="C2528">
        <v>9</v>
      </c>
      <c r="D2528" t="s">
        <v>51</v>
      </c>
      <c r="E2528" t="s">
        <v>45</v>
      </c>
      <c r="F2528" t="s">
        <v>28</v>
      </c>
      <c r="G2528" t="s">
        <v>29</v>
      </c>
      <c r="H2528">
        <v>3</v>
      </c>
      <c r="I2528">
        <v>9000</v>
      </c>
    </row>
    <row r="2529" spans="1:9" x14ac:dyDescent="0.3">
      <c r="A2529" s="1">
        <v>46203</v>
      </c>
      <c r="B2529">
        <v>2026</v>
      </c>
      <c r="C2529">
        <v>6</v>
      </c>
      <c r="D2529" t="s">
        <v>46</v>
      </c>
      <c r="E2529" t="s">
        <v>47</v>
      </c>
      <c r="F2529" t="s">
        <v>28</v>
      </c>
      <c r="G2529" t="s">
        <v>29</v>
      </c>
      <c r="H2529">
        <v>1</v>
      </c>
      <c r="I2529">
        <v>3000</v>
      </c>
    </row>
    <row r="2530" spans="1:9" x14ac:dyDescent="0.3">
      <c r="A2530" s="1">
        <v>46223</v>
      </c>
      <c r="B2530">
        <v>2026</v>
      </c>
      <c r="C2530">
        <v>7</v>
      </c>
      <c r="D2530" t="s">
        <v>44</v>
      </c>
      <c r="E2530" t="s">
        <v>45</v>
      </c>
      <c r="F2530" t="s">
        <v>28</v>
      </c>
      <c r="G2530" t="s">
        <v>29</v>
      </c>
      <c r="H2530">
        <v>1</v>
      </c>
      <c r="I2530">
        <v>3000</v>
      </c>
    </row>
    <row r="2531" spans="1:9" x14ac:dyDescent="0.3">
      <c r="A2531" s="1">
        <v>46209</v>
      </c>
      <c r="B2531">
        <v>2026</v>
      </c>
      <c r="C2531">
        <v>7</v>
      </c>
      <c r="D2531" t="s">
        <v>40</v>
      </c>
      <c r="E2531" t="s">
        <v>41</v>
      </c>
      <c r="F2531" t="s">
        <v>28</v>
      </c>
      <c r="G2531" t="s">
        <v>29</v>
      </c>
      <c r="H2531">
        <v>3</v>
      </c>
      <c r="I2531">
        <v>9000</v>
      </c>
    </row>
    <row r="2532" spans="1:9" x14ac:dyDescent="0.3">
      <c r="A2532" s="1">
        <v>46297</v>
      </c>
      <c r="B2532">
        <v>2026</v>
      </c>
      <c r="C2532">
        <v>10</v>
      </c>
      <c r="D2532" t="s">
        <v>46</v>
      </c>
      <c r="E2532" t="s">
        <v>47</v>
      </c>
      <c r="F2532" t="s">
        <v>28</v>
      </c>
      <c r="G2532" t="s">
        <v>29</v>
      </c>
      <c r="H2532">
        <v>5</v>
      </c>
      <c r="I2532">
        <v>15000</v>
      </c>
    </row>
    <row r="2533" spans="1:9" x14ac:dyDescent="0.3">
      <c r="A2533" s="1">
        <v>46060</v>
      </c>
      <c r="B2533">
        <v>2026</v>
      </c>
      <c r="C2533">
        <v>2</v>
      </c>
      <c r="D2533" t="s">
        <v>49</v>
      </c>
      <c r="E2533" t="s">
        <v>47</v>
      </c>
      <c r="F2533" t="s">
        <v>28</v>
      </c>
      <c r="G2533" t="s">
        <v>29</v>
      </c>
      <c r="H2533">
        <v>2</v>
      </c>
      <c r="I2533">
        <v>6000</v>
      </c>
    </row>
    <row r="2534" spans="1:9" x14ac:dyDescent="0.3">
      <c r="A2534" s="1">
        <v>46071</v>
      </c>
      <c r="B2534">
        <v>2026</v>
      </c>
      <c r="C2534">
        <v>2</v>
      </c>
      <c r="D2534" t="s">
        <v>40</v>
      </c>
      <c r="E2534" t="s">
        <v>41</v>
      </c>
      <c r="F2534" t="s">
        <v>28</v>
      </c>
      <c r="G2534" t="s">
        <v>29</v>
      </c>
      <c r="H2534">
        <v>3</v>
      </c>
      <c r="I2534">
        <v>9000</v>
      </c>
    </row>
    <row r="2535" spans="1:9" x14ac:dyDescent="0.3">
      <c r="A2535" s="1">
        <v>46203</v>
      </c>
      <c r="B2535">
        <v>2026</v>
      </c>
      <c r="C2535">
        <v>6</v>
      </c>
      <c r="D2535" t="s">
        <v>46</v>
      </c>
      <c r="E2535" t="s">
        <v>47</v>
      </c>
      <c r="F2535" t="s">
        <v>28</v>
      </c>
      <c r="G2535" t="s">
        <v>29</v>
      </c>
      <c r="H2535">
        <v>5</v>
      </c>
      <c r="I2535">
        <v>15000</v>
      </c>
    </row>
    <row r="2536" spans="1:9" x14ac:dyDescent="0.3">
      <c r="A2536" s="1">
        <v>46246</v>
      </c>
      <c r="B2536">
        <v>2026</v>
      </c>
      <c r="C2536">
        <v>8</v>
      </c>
      <c r="D2536" t="s">
        <v>40</v>
      </c>
      <c r="E2536" t="s">
        <v>41</v>
      </c>
      <c r="F2536" t="s">
        <v>28</v>
      </c>
      <c r="G2536" t="s">
        <v>29</v>
      </c>
      <c r="H2536">
        <v>5</v>
      </c>
      <c r="I2536">
        <v>15000</v>
      </c>
    </row>
    <row r="2537" spans="1:9" x14ac:dyDescent="0.3">
      <c r="A2537" s="1">
        <v>46293</v>
      </c>
      <c r="B2537">
        <v>2026</v>
      </c>
      <c r="C2537">
        <v>9</v>
      </c>
      <c r="D2537" t="s">
        <v>46</v>
      </c>
      <c r="E2537" t="s">
        <v>47</v>
      </c>
      <c r="F2537" t="s">
        <v>28</v>
      </c>
      <c r="G2537" t="s">
        <v>29</v>
      </c>
      <c r="H2537">
        <v>1</v>
      </c>
      <c r="I2537">
        <v>3000</v>
      </c>
    </row>
    <row r="2538" spans="1:9" x14ac:dyDescent="0.3">
      <c r="A2538" s="1">
        <v>46101</v>
      </c>
      <c r="B2538">
        <v>2026</v>
      </c>
      <c r="C2538">
        <v>3</v>
      </c>
      <c r="D2538" t="s">
        <v>46</v>
      </c>
      <c r="E2538" t="s">
        <v>47</v>
      </c>
      <c r="F2538" t="s">
        <v>28</v>
      </c>
      <c r="G2538" t="s">
        <v>29</v>
      </c>
      <c r="H2538">
        <v>2</v>
      </c>
      <c r="I2538">
        <v>6000</v>
      </c>
    </row>
    <row r="2539" spans="1:9" x14ac:dyDescent="0.3">
      <c r="A2539" s="1">
        <v>46301</v>
      </c>
      <c r="B2539">
        <v>2026</v>
      </c>
      <c r="C2539">
        <v>10</v>
      </c>
      <c r="D2539" t="s">
        <v>49</v>
      </c>
      <c r="E2539" t="s">
        <v>47</v>
      </c>
      <c r="F2539" t="s">
        <v>28</v>
      </c>
      <c r="G2539" t="s">
        <v>29</v>
      </c>
      <c r="H2539">
        <v>4</v>
      </c>
      <c r="I2539">
        <v>12000</v>
      </c>
    </row>
    <row r="2540" spans="1:9" x14ac:dyDescent="0.3">
      <c r="A2540" s="1">
        <v>46080</v>
      </c>
      <c r="B2540">
        <v>2026</v>
      </c>
      <c r="C2540">
        <v>2</v>
      </c>
      <c r="D2540" t="s">
        <v>50</v>
      </c>
      <c r="E2540" t="s">
        <v>41</v>
      </c>
      <c r="F2540" t="s">
        <v>28</v>
      </c>
      <c r="G2540" t="s">
        <v>29</v>
      </c>
      <c r="H2540">
        <v>5</v>
      </c>
      <c r="I2540">
        <v>15000</v>
      </c>
    </row>
    <row r="2541" spans="1:9" x14ac:dyDescent="0.3">
      <c r="A2541" s="1">
        <v>46187</v>
      </c>
      <c r="B2541">
        <v>2026</v>
      </c>
      <c r="C2541">
        <v>6</v>
      </c>
      <c r="D2541" t="s">
        <v>50</v>
      </c>
      <c r="E2541" t="s">
        <v>41</v>
      </c>
      <c r="F2541" t="s">
        <v>28</v>
      </c>
      <c r="G2541" t="s">
        <v>29</v>
      </c>
      <c r="H2541">
        <v>1</v>
      </c>
      <c r="I2541">
        <v>3000</v>
      </c>
    </row>
    <row r="2542" spans="1:9" x14ac:dyDescent="0.3">
      <c r="A2542" s="1">
        <v>46121</v>
      </c>
      <c r="B2542">
        <v>2026</v>
      </c>
      <c r="C2542">
        <v>4</v>
      </c>
      <c r="D2542" t="s">
        <v>42</v>
      </c>
      <c r="E2542" t="s">
        <v>43</v>
      </c>
      <c r="F2542" t="s">
        <v>28</v>
      </c>
      <c r="G2542" t="s">
        <v>29</v>
      </c>
      <c r="H2542">
        <v>4</v>
      </c>
      <c r="I2542">
        <v>12000</v>
      </c>
    </row>
    <row r="2543" spans="1:9" x14ac:dyDescent="0.3">
      <c r="A2543" s="1">
        <v>46029</v>
      </c>
      <c r="B2543">
        <v>2026</v>
      </c>
      <c r="C2543">
        <v>1</v>
      </c>
      <c r="D2543" t="s">
        <v>46</v>
      </c>
      <c r="E2543" t="s">
        <v>47</v>
      </c>
      <c r="F2543" t="s">
        <v>28</v>
      </c>
      <c r="G2543" t="s">
        <v>29</v>
      </c>
      <c r="H2543">
        <v>2</v>
      </c>
      <c r="I2543">
        <v>6000</v>
      </c>
    </row>
    <row r="2544" spans="1:9" x14ac:dyDescent="0.3">
      <c r="A2544" s="1">
        <v>46315</v>
      </c>
      <c r="B2544">
        <v>2026</v>
      </c>
      <c r="C2544">
        <v>10</v>
      </c>
      <c r="D2544" t="s">
        <v>42</v>
      </c>
      <c r="E2544" t="s">
        <v>43</v>
      </c>
      <c r="F2544" t="s">
        <v>28</v>
      </c>
      <c r="G2544" t="s">
        <v>29</v>
      </c>
      <c r="H2544">
        <v>4</v>
      </c>
      <c r="I2544">
        <v>12000</v>
      </c>
    </row>
    <row r="2545" spans="1:9" x14ac:dyDescent="0.3">
      <c r="A2545" s="1">
        <v>46061</v>
      </c>
      <c r="B2545">
        <v>2026</v>
      </c>
      <c r="C2545">
        <v>2</v>
      </c>
      <c r="D2545" t="s">
        <v>51</v>
      </c>
      <c r="E2545" t="s">
        <v>45</v>
      </c>
      <c r="F2545" t="s">
        <v>28</v>
      </c>
      <c r="G2545" t="s">
        <v>29</v>
      </c>
      <c r="H2545">
        <v>1</v>
      </c>
      <c r="I2545">
        <v>3000</v>
      </c>
    </row>
    <row r="2546" spans="1:9" x14ac:dyDescent="0.3">
      <c r="A2546" s="1">
        <v>46036</v>
      </c>
      <c r="B2546">
        <v>2026</v>
      </c>
      <c r="C2546">
        <v>1</v>
      </c>
      <c r="D2546" t="s">
        <v>42</v>
      </c>
      <c r="E2546" t="s">
        <v>43</v>
      </c>
      <c r="F2546" t="s">
        <v>28</v>
      </c>
      <c r="G2546" t="s">
        <v>29</v>
      </c>
      <c r="H2546">
        <v>5</v>
      </c>
      <c r="I2546">
        <v>15000</v>
      </c>
    </row>
    <row r="2547" spans="1:9" x14ac:dyDescent="0.3">
      <c r="A2547" s="1">
        <v>46044</v>
      </c>
      <c r="B2547">
        <v>2026</v>
      </c>
      <c r="C2547">
        <v>1</v>
      </c>
      <c r="D2547" t="s">
        <v>50</v>
      </c>
      <c r="E2547" t="s">
        <v>41</v>
      </c>
      <c r="F2547" t="s">
        <v>28</v>
      </c>
      <c r="G2547" t="s">
        <v>29</v>
      </c>
      <c r="H2547">
        <v>4</v>
      </c>
      <c r="I2547">
        <v>12000</v>
      </c>
    </row>
    <row r="2548" spans="1:9" x14ac:dyDescent="0.3">
      <c r="A2548" s="1">
        <v>46289</v>
      </c>
      <c r="B2548">
        <v>2026</v>
      </c>
      <c r="C2548">
        <v>9</v>
      </c>
      <c r="D2548" t="s">
        <v>46</v>
      </c>
      <c r="E2548" t="s">
        <v>47</v>
      </c>
      <c r="F2548" t="s">
        <v>28</v>
      </c>
      <c r="G2548" t="s">
        <v>29</v>
      </c>
      <c r="H2548">
        <v>5</v>
      </c>
      <c r="I2548">
        <v>15000</v>
      </c>
    </row>
    <row r="2549" spans="1:9" x14ac:dyDescent="0.3">
      <c r="A2549" s="1">
        <v>46245</v>
      </c>
      <c r="B2549">
        <v>2026</v>
      </c>
      <c r="C2549">
        <v>8</v>
      </c>
      <c r="D2549" t="s">
        <v>49</v>
      </c>
      <c r="E2549" t="s">
        <v>47</v>
      </c>
      <c r="F2549" t="s">
        <v>28</v>
      </c>
      <c r="G2549" t="s">
        <v>29</v>
      </c>
      <c r="H2549">
        <v>3</v>
      </c>
      <c r="I2549">
        <v>9000</v>
      </c>
    </row>
    <row r="2550" spans="1:9" x14ac:dyDescent="0.3">
      <c r="A2550" s="1">
        <v>46310</v>
      </c>
      <c r="B2550">
        <v>2026</v>
      </c>
      <c r="C2550">
        <v>10</v>
      </c>
      <c r="D2550" t="s">
        <v>48</v>
      </c>
      <c r="E2550" t="s">
        <v>43</v>
      </c>
      <c r="F2550" t="s">
        <v>28</v>
      </c>
      <c r="G2550" t="s">
        <v>29</v>
      </c>
      <c r="H2550">
        <v>4</v>
      </c>
      <c r="I2550">
        <v>12000</v>
      </c>
    </row>
    <row r="2551" spans="1:9" x14ac:dyDescent="0.3">
      <c r="A2551" s="1">
        <v>46250</v>
      </c>
      <c r="B2551">
        <v>2026</v>
      </c>
      <c r="C2551">
        <v>8</v>
      </c>
      <c r="D2551" t="s">
        <v>44</v>
      </c>
      <c r="E2551" t="s">
        <v>45</v>
      </c>
      <c r="F2551" t="s">
        <v>28</v>
      </c>
      <c r="G2551" t="s">
        <v>29</v>
      </c>
      <c r="H2551">
        <v>4</v>
      </c>
      <c r="I2551">
        <v>12000</v>
      </c>
    </row>
    <row r="2552" spans="1:9" x14ac:dyDescent="0.3">
      <c r="A2552" s="1">
        <v>46317</v>
      </c>
      <c r="B2552">
        <v>2026</v>
      </c>
      <c r="C2552">
        <v>10</v>
      </c>
      <c r="D2552" t="s">
        <v>44</v>
      </c>
      <c r="E2552" t="s">
        <v>45</v>
      </c>
      <c r="F2552" t="s">
        <v>28</v>
      </c>
      <c r="G2552" t="s">
        <v>29</v>
      </c>
      <c r="H2552">
        <v>5</v>
      </c>
      <c r="I2552">
        <v>15000</v>
      </c>
    </row>
    <row r="2553" spans="1:9" x14ac:dyDescent="0.3">
      <c r="A2553" s="1">
        <v>46064</v>
      </c>
      <c r="B2553">
        <v>2026</v>
      </c>
      <c r="C2553">
        <v>2</v>
      </c>
      <c r="D2553" t="s">
        <v>50</v>
      </c>
      <c r="E2553" t="s">
        <v>41</v>
      </c>
      <c r="F2553" t="s">
        <v>28</v>
      </c>
      <c r="G2553" t="s">
        <v>29</v>
      </c>
      <c r="H2553">
        <v>5</v>
      </c>
      <c r="I2553">
        <v>15000</v>
      </c>
    </row>
    <row r="2554" spans="1:9" x14ac:dyDescent="0.3">
      <c r="A2554" s="1">
        <v>46284</v>
      </c>
      <c r="B2554">
        <v>2026</v>
      </c>
      <c r="C2554">
        <v>9</v>
      </c>
      <c r="D2554" t="s">
        <v>46</v>
      </c>
      <c r="E2554" t="s">
        <v>47</v>
      </c>
      <c r="F2554" t="s">
        <v>28</v>
      </c>
      <c r="G2554" t="s">
        <v>29</v>
      </c>
      <c r="H2554">
        <v>2</v>
      </c>
      <c r="I2554">
        <v>6000</v>
      </c>
    </row>
    <row r="2555" spans="1:9" x14ac:dyDescent="0.3">
      <c r="A2555" s="1">
        <v>46322</v>
      </c>
      <c r="B2555">
        <v>2026</v>
      </c>
      <c r="C2555">
        <v>10</v>
      </c>
      <c r="D2555" t="s">
        <v>49</v>
      </c>
      <c r="E2555" t="s">
        <v>47</v>
      </c>
      <c r="F2555" t="s">
        <v>28</v>
      </c>
      <c r="G2555" t="s">
        <v>29</v>
      </c>
      <c r="H2555">
        <v>2</v>
      </c>
      <c r="I2555">
        <v>6000</v>
      </c>
    </row>
    <row r="2556" spans="1:9" x14ac:dyDescent="0.3">
      <c r="A2556" s="1">
        <v>46304</v>
      </c>
      <c r="B2556">
        <v>2026</v>
      </c>
      <c r="C2556">
        <v>10</v>
      </c>
      <c r="D2556" t="s">
        <v>50</v>
      </c>
      <c r="E2556" t="s">
        <v>41</v>
      </c>
      <c r="F2556" t="s">
        <v>28</v>
      </c>
      <c r="G2556" t="s">
        <v>29</v>
      </c>
      <c r="H2556">
        <v>4</v>
      </c>
      <c r="I2556">
        <v>12000</v>
      </c>
    </row>
    <row r="2557" spans="1:9" x14ac:dyDescent="0.3">
      <c r="A2557" s="1">
        <v>46202</v>
      </c>
      <c r="B2557">
        <v>2026</v>
      </c>
      <c r="C2557">
        <v>6</v>
      </c>
      <c r="D2557" t="s">
        <v>50</v>
      </c>
      <c r="E2557" t="s">
        <v>41</v>
      </c>
      <c r="F2557" t="s">
        <v>28</v>
      </c>
      <c r="G2557" t="s">
        <v>29</v>
      </c>
      <c r="H2557">
        <v>1</v>
      </c>
      <c r="I2557">
        <v>3000</v>
      </c>
    </row>
    <row r="2558" spans="1:9" x14ac:dyDescent="0.3">
      <c r="A2558" s="1">
        <v>46131</v>
      </c>
      <c r="B2558">
        <v>2026</v>
      </c>
      <c r="C2558">
        <v>4</v>
      </c>
      <c r="D2558" t="s">
        <v>48</v>
      </c>
      <c r="E2558" t="s">
        <v>43</v>
      </c>
      <c r="F2558" t="s">
        <v>28</v>
      </c>
      <c r="G2558" t="s">
        <v>29</v>
      </c>
      <c r="H2558">
        <v>3</v>
      </c>
      <c r="I2558">
        <v>9000</v>
      </c>
    </row>
    <row r="2559" spans="1:9" x14ac:dyDescent="0.3">
      <c r="A2559" s="1">
        <v>46257</v>
      </c>
      <c r="B2559">
        <v>2026</v>
      </c>
      <c r="C2559">
        <v>8</v>
      </c>
      <c r="D2559" t="s">
        <v>46</v>
      </c>
      <c r="E2559" t="s">
        <v>47</v>
      </c>
      <c r="F2559" t="s">
        <v>28</v>
      </c>
      <c r="G2559" t="s">
        <v>29</v>
      </c>
      <c r="H2559">
        <v>5</v>
      </c>
      <c r="I2559">
        <v>15000</v>
      </c>
    </row>
    <row r="2560" spans="1:9" x14ac:dyDescent="0.3">
      <c r="A2560" s="1">
        <v>46222</v>
      </c>
      <c r="B2560">
        <v>2026</v>
      </c>
      <c r="C2560">
        <v>7</v>
      </c>
      <c r="D2560" t="s">
        <v>48</v>
      </c>
      <c r="E2560" t="s">
        <v>43</v>
      </c>
      <c r="F2560" t="s">
        <v>28</v>
      </c>
      <c r="G2560" t="s">
        <v>29</v>
      </c>
      <c r="H2560">
        <v>3</v>
      </c>
      <c r="I2560">
        <v>9000</v>
      </c>
    </row>
    <row r="2561" spans="1:9" x14ac:dyDescent="0.3">
      <c r="A2561" s="1">
        <v>46070</v>
      </c>
      <c r="B2561">
        <v>2026</v>
      </c>
      <c r="C2561">
        <v>2</v>
      </c>
      <c r="D2561" t="s">
        <v>51</v>
      </c>
      <c r="E2561" t="s">
        <v>45</v>
      </c>
      <c r="F2561" t="s">
        <v>28</v>
      </c>
      <c r="G2561" t="s">
        <v>29</v>
      </c>
      <c r="H2561">
        <v>4</v>
      </c>
      <c r="I2561">
        <v>12000</v>
      </c>
    </row>
    <row r="2562" spans="1:9" x14ac:dyDescent="0.3">
      <c r="A2562" s="1">
        <v>46200</v>
      </c>
      <c r="B2562">
        <v>2026</v>
      </c>
      <c r="C2562">
        <v>6</v>
      </c>
      <c r="D2562" t="s">
        <v>42</v>
      </c>
      <c r="E2562" t="s">
        <v>43</v>
      </c>
      <c r="F2562" t="s">
        <v>28</v>
      </c>
      <c r="G2562" t="s">
        <v>29</v>
      </c>
      <c r="H2562">
        <v>3</v>
      </c>
      <c r="I2562">
        <v>9000</v>
      </c>
    </row>
    <row r="2563" spans="1:9" x14ac:dyDescent="0.3">
      <c r="A2563" s="1">
        <v>46029</v>
      </c>
      <c r="B2563">
        <v>2026</v>
      </c>
      <c r="C2563">
        <v>1</v>
      </c>
      <c r="D2563" t="s">
        <v>40</v>
      </c>
      <c r="E2563" t="s">
        <v>41</v>
      </c>
      <c r="F2563" t="s">
        <v>28</v>
      </c>
      <c r="G2563" t="s">
        <v>29</v>
      </c>
      <c r="H2563">
        <v>2</v>
      </c>
      <c r="I2563">
        <v>6000</v>
      </c>
    </row>
    <row r="2564" spans="1:9" x14ac:dyDescent="0.3">
      <c r="A2564" s="1">
        <v>46028</v>
      </c>
      <c r="B2564">
        <v>2026</v>
      </c>
      <c r="C2564">
        <v>1</v>
      </c>
      <c r="D2564" t="s">
        <v>40</v>
      </c>
      <c r="E2564" t="s">
        <v>41</v>
      </c>
      <c r="F2564" t="s">
        <v>28</v>
      </c>
      <c r="G2564" t="s">
        <v>29</v>
      </c>
      <c r="H2564">
        <v>2</v>
      </c>
      <c r="I2564">
        <v>6000</v>
      </c>
    </row>
    <row r="2565" spans="1:9" x14ac:dyDescent="0.3">
      <c r="A2565" s="1">
        <v>46204</v>
      </c>
      <c r="B2565">
        <v>2026</v>
      </c>
      <c r="C2565">
        <v>7</v>
      </c>
      <c r="D2565" t="s">
        <v>50</v>
      </c>
      <c r="E2565" t="s">
        <v>41</v>
      </c>
      <c r="F2565" t="s">
        <v>28</v>
      </c>
      <c r="G2565" t="s">
        <v>29</v>
      </c>
      <c r="H2565">
        <v>1</v>
      </c>
      <c r="I2565">
        <v>3000</v>
      </c>
    </row>
    <row r="2566" spans="1:9" x14ac:dyDescent="0.3">
      <c r="A2566" s="1">
        <v>46308</v>
      </c>
      <c r="B2566">
        <v>2026</v>
      </c>
      <c r="C2566">
        <v>10</v>
      </c>
      <c r="D2566" t="s">
        <v>44</v>
      </c>
      <c r="E2566" t="s">
        <v>45</v>
      </c>
      <c r="F2566" t="s">
        <v>28</v>
      </c>
      <c r="G2566" t="s">
        <v>29</v>
      </c>
      <c r="H2566">
        <v>4</v>
      </c>
      <c r="I2566">
        <v>12000</v>
      </c>
    </row>
    <row r="2567" spans="1:9" x14ac:dyDescent="0.3">
      <c r="A2567" s="1">
        <v>46044</v>
      </c>
      <c r="B2567">
        <v>2026</v>
      </c>
      <c r="C2567">
        <v>1</v>
      </c>
      <c r="D2567" t="s">
        <v>48</v>
      </c>
      <c r="E2567" t="s">
        <v>43</v>
      </c>
      <c r="F2567" t="s">
        <v>28</v>
      </c>
      <c r="G2567" t="s">
        <v>29</v>
      </c>
      <c r="H2567">
        <v>2</v>
      </c>
      <c r="I2567">
        <v>6000</v>
      </c>
    </row>
    <row r="2568" spans="1:9" x14ac:dyDescent="0.3">
      <c r="A2568" s="1">
        <v>46160</v>
      </c>
      <c r="B2568">
        <v>2026</v>
      </c>
      <c r="C2568">
        <v>5</v>
      </c>
      <c r="D2568" t="s">
        <v>48</v>
      </c>
      <c r="E2568" t="s">
        <v>43</v>
      </c>
      <c r="F2568" t="s">
        <v>28</v>
      </c>
      <c r="G2568" t="s">
        <v>29</v>
      </c>
      <c r="H2568">
        <v>2</v>
      </c>
      <c r="I2568">
        <v>6000</v>
      </c>
    </row>
    <row r="2569" spans="1:9" x14ac:dyDescent="0.3">
      <c r="A2569" s="1">
        <v>46298</v>
      </c>
      <c r="B2569">
        <v>2026</v>
      </c>
      <c r="C2569">
        <v>10</v>
      </c>
      <c r="D2569" t="s">
        <v>51</v>
      </c>
      <c r="E2569" t="s">
        <v>45</v>
      </c>
      <c r="F2569" t="s">
        <v>28</v>
      </c>
      <c r="G2569" t="s">
        <v>29</v>
      </c>
      <c r="H2569">
        <v>3</v>
      </c>
      <c r="I2569">
        <v>9000</v>
      </c>
    </row>
    <row r="2570" spans="1:9" x14ac:dyDescent="0.3">
      <c r="A2570" s="1">
        <v>46064</v>
      </c>
      <c r="B2570">
        <v>2026</v>
      </c>
      <c r="C2570">
        <v>2</v>
      </c>
      <c r="D2570" t="s">
        <v>51</v>
      </c>
      <c r="E2570" t="s">
        <v>45</v>
      </c>
      <c r="F2570" t="s">
        <v>28</v>
      </c>
      <c r="G2570" t="s">
        <v>29</v>
      </c>
      <c r="H2570">
        <v>1</v>
      </c>
      <c r="I2570">
        <v>3000</v>
      </c>
    </row>
    <row r="2571" spans="1:9" x14ac:dyDescent="0.3">
      <c r="A2571" s="1">
        <v>46140</v>
      </c>
      <c r="B2571">
        <v>2026</v>
      </c>
      <c r="C2571">
        <v>4</v>
      </c>
      <c r="D2571" t="s">
        <v>51</v>
      </c>
      <c r="E2571" t="s">
        <v>45</v>
      </c>
      <c r="F2571" t="s">
        <v>28</v>
      </c>
      <c r="G2571" t="s">
        <v>29</v>
      </c>
      <c r="H2571">
        <v>5</v>
      </c>
      <c r="I2571">
        <v>15000</v>
      </c>
    </row>
    <row r="2572" spans="1:9" x14ac:dyDescent="0.3">
      <c r="A2572" s="1">
        <v>46096</v>
      </c>
      <c r="B2572">
        <v>2026</v>
      </c>
      <c r="C2572">
        <v>3</v>
      </c>
      <c r="D2572" t="s">
        <v>50</v>
      </c>
      <c r="E2572" t="s">
        <v>41</v>
      </c>
      <c r="F2572" t="s">
        <v>28</v>
      </c>
      <c r="G2572" t="s">
        <v>29</v>
      </c>
      <c r="H2572">
        <v>5</v>
      </c>
      <c r="I2572">
        <v>15000</v>
      </c>
    </row>
    <row r="2573" spans="1:9" x14ac:dyDescent="0.3">
      <c r="A2573" s="1">
        <v>46052</v>
      </c>
      <c r="B2573">
        <v>2026</v>
      </c>
      <c r="C2573">
        <v>1</v>
      </c>
      <c r="D2573" t="s">
        <v>51</v>
      </c>
      <c r="E2573" t="s">
        <v>45</v>
      </c>
      <c r="F2573" t="s">
        <v>28</v>
      </c>
      <c r="G2573" t="s">
        <v>29</v>
      </c>
      <c r="H2573">
        <v>4</v>
      </c>
      <c r="I2573">
        <v>12000</v>
      </c>
    </row>
    <row r="2574" spans="1:9" x14ac:dyDescent="0.3">
      <c r="A2574" s="1">
        <v>46276</v>
      </c>
      <c r="B2574">
        <v>2026</v>
      </c>
      <c r="C2574">
        <v>9</v>
      </c>
      <c r="D2574" t="s">
        <v>44</v>
      </c>
      <c r="E2574" t="s">
        <v>45</v>
      </c>
      <c r="F2574" t="s">
        <v>28</v>
      </c>
      <c r="G2574" t="s">
        <v>29</v>
      </c>
      <c r="H2574">
        <v>3</v>
      </c>
      <c r="I2574">
        <v>9000</v>
      </c>
    </row>
    <row r="2575" spans="1:9" x14ac:dyDescent="0.3">
      <c r="A2575" s="1">
        <v>46217</v>
      </c>
      <c r="B2575">
        <v>2026</v>
      </c>
      <c r="C2575">
        <v>7</v>
      </c>
      <c r="D2575" t="s">
        <v>46</v>
      </c>
      <c r="E2575" t="s">
        <v>47</v>
      </c>
      <c r="F2575" t="s">
        <v>28</v>
      </c>
      <c r="G2575" t="s">
        <v>29</v>
      </c>
      <c r="H2575">
        <v>5</v>
      </c>
      <c r="I2575">
        <v>15000</v>
      </c>
    </row>
    <row r="2576" spans="1:9" x14ac:dyDescent="0.3">
      <c r="A2576" s="1">
        <v>46185</v>
      </c>
      <c r="B2576">
        <v>2026</v>
      </c>
      <c r="C2576">
        <v>6</v>
      </c>
      <c r="D2576" t="s">
        <v>46</v>
      </c>
      <c r="E2576" t="s">
        <v>47</v>
      </c>
      <c r="F2576" t="s">
        <v>28</v>
      </c>
      <c r="G2576" t="s">
        <v>29</v>
      </c>
      <c r="H2576">
        <v>4</v>
      </c>
      <c r="I2576">
        <v>12000</v>
      </c>
    </row>
    <row r="2577" spans="1:9" x14ac:dyDescent="0.3">
      <c r="A2577" s="1">
        <v>46093</v>
      </c>
      <c r="B2577">
        <v>2026</v>
      </c>
      <c r="C2577">
        <v>3</v>
      </c>
      <c r="D2577" t="s">
        <v>48</v>
      </c>
      <c r="E2577" t="s">
        <v>43</v>
      </c>
      <c r="F2577" t="s">
        <v>28</v>
      </c>
      <c r="G2577" t="s">
        <v>29</v>
      </c>
      <c r="H2577">
        <v>3</v>
      </c>
      <c r="I2577">
        <v>9000</v>
      </c>
    </row>
    <row r="2578" spans="1:9" x14ac:dyDescent="0.3">
      <c r="A2578" s="1">
        <v>46234</v>
      </c>
      <c r="B2578">
        <v>2026</v>
      </c>
      <c r="C2578">
        <v>7</v>
      </c>
      <c r="D2578" t="s">
        <v>51</v>
      </c>
      <c r="E2578" t="s">
        <v>45</v>
      </c>
      <c r="F2578" t="s">
        <v>28</v>
      </c>
      <c r="G2578" t="s">
        <v>29</v>
      </c>
      <c r="H2578">
        <v>1</v>
      </c>
      <c r="I2578">
        <v>3000</v>
      </c>
    </row>
    <row r="2579" spans="1:9" x14ac:dyDescent="0.3">
      <c r="A2579" s="1">
        <v>46251</v>
      </c>
      <c r="B2579">
        <v>2026</v>
      </c>
      <c r="C2579">
        <v>8</v>
      </c>
      <c r="D2579" t="s">
        <v>42</v>
      </c>
      <c r="E2579" t="s">
        <v>43</v>
      </c>
      <c r="F2579" t="s">
        <v>28</v>
      </c>
      <c r="G2579" t="s">
        <v>29</v>
      </c>
      <c r="H2579">
        <v>3</v>
      </c>
      <c r="I2579">
        <v>9000</v>
      </c>
    </row>
    <row r="2580" spans="1:9" x14ac:dyDescent="0.3">
      <c r="A2580" s="1">
        <v>46125</v>
      </c>
      <c r="B2580">
        <v>2026</v>
      </c>
      <c r="C2580">
        <v>4</v>
      </c>
      <c r="D2580" t="s">
        <v>48</v>
      </c>
      <c r="E2580" t="s">
        <v>43</v>
      </c>
      <c r="F2580" t="s">
        <v>28</v>
      </c>
      <c r="G2580" t="s">
        <v>29</v>
      </c>
      <c r="H2580">
        <v>1</v>
      </c>
      <c r="I2580">
        <v>3000</v>
      </c>
    </row>
    <row r="2581" spans="1:9" x14ac:dyDescent="0.3">
      <c r="A2581" s="1">
        <v>46184</v>
      </c>
      <c r="B2581">
        <v>2026</v>
      </c>
      <c r="C2581">
        <v>6</v>
      </c>
      <c r="D2581" t="s">
        <v>48</v>
      </c>
      <c r="E2581" t="s">
        <v>43</v>
      </c>
      <c r="F2581" t="s">
        <v>28</v>
      </c>
      <c r="G2581" t="s">
        <v>29</v>
      </c>
      <c r="H2581">
        <v>3</v>
      </c>
      <c r="I2581">
        <v>9000</v>
      </c>
    </row>
    <row r="2582" spans="1:9" x14ac:dyDescent="0.3">
      <c r="A2582" s="1">
        <v>46092</v>
      </c>
      <c r="B2582">
        <v>2026</v>
      </c>
      <c r="C2582">
        <v>3</v>
      </c>
      <c r="D2582" t="s">
        <v>51</v>
      </c>
      <c r="E2582" t="s">
        <v>45</v>
      </c>
      <c r="F2582" t="s">
        <v>28</v>
      </c>
      <c r="G2582" t="s">
        <v>29</v>
      </c>
      <c r="H2582">
        <v>2</v>
      </c>
      <c r="I2582">
        <v>6000</v>
      </c>
    </row>
    <row r="2583" spans="1:9" x14ac:dyDescent="0.3">
      <c r="A2583" s="1">
        <v>46222</v>
      </c>
      <c r="B2583">
        <v>2026</v>
      </c>
      <c r="C2583">
        <v>7</v>
      </c>
      <c r="D2583" t="s">
        <v>50</v>
      </c>
      <c r="E2583" t="s">
        <v>41</v>
      </c>
      <c r="F2583" t="s">
        <v>28</v>
      </c>
      <c r="G2583" t="s">
        <v>29</v>
      </c>
      <c r="H2583">
        <v>4</v>
      </c>
      <c r="I2583">
        <v>12000</v>
      </c>
    </row>
    <row r="2584" spans="1:9" x14ac:dyDescent="0.3">
      <c r="A2584" s="1">
        <v>46136</v>
      </c>
      <c r="B2584">
        <v>2026</v>
      </c>
      <c r="C2584">
        <v>4</v>
      </c>
      <c r="D2584" t="s">
        <v>42</v>
      </c>
      <c r="E2584" t="s">
        <v>43</v>
      </c>
      <c r="F2584" t="s">
        <v>28</v>
      </c>
      <c r="G2584" t="s">
        <v>29</v>
      </c>
      <c r="H2584">
        <v>3</v>
      </c>
      <c r="I2584">
        <v>9000</v>
      </c>
    </row>
    <row r="2585" spans="1:9" x14ac:dyDescent="0.3">
      <c r="A2585" s="1">
        <v>46222</v>
      </c>
      <c r="B2585">
        <v>2026</v>
      </c>
      <c r="C2585">
        <v>7</v>
      </c>
      <c r="D2585" t="s">
        <v>50</v>
      </c>
      <c r="E2585" t="s">
        <v>41</v>
      </c>
      <c r="F2585" t="s">
        <v>28</v>
      </c>
      <c r="G2585" t="s">
        <v>29</v>
      </c>
      <c r="H2585">
        <v>3</v>
      </c>
      <c r="I2585">
        <v>9000</v>
      </c>
    </row>
    <row r="2586" spans="1:9" x14ac:dyDescent="0.3">
      <c r="A2586" s="1">
        <v>46065</v>
      </c>
      <c r="B2586">
        <v>2026</v>
      </c>
      <c r="C2586">
        <v>2</v>
      </c>
      <c r="D2586" t="s">
        <v>40</v>
      </c>
      <c r="E2586" t="s">
        <v>41</v>
      </c>
      <c r="F2586" t="s">
        <v>28</v>
      </c>
      <c r="G2586" t="s">
        <v>29</v>
      </c>
      <c r="H2586">
        <v>4</v>
      </c>
      <c r="I2586">
        <v>12000</v>
      </c>
    </row>
    <row r="2587" spans="1:9" x14ac:dyDescent="0.3">
      <c r="A2587" s="1">
        <v>46197</v>
      </c>
      <c r="B2587">
        <v>2026</v>
      </c>
      <c r="C2587">
        <v>6</v>
      </c>
      <c r="D2587" t="s">
        <v>40</v>
      </c>
      <c r="E2587" t="s">
        <v>41</v>
      </c>
      <c r="F2587" t="s">
        <v>28</v>
      </c>
      <c r="G2587" t="s">
        <v>29</v>
      </c>
      <c r="H2587">
        <v>1</v>
      </c>
      <c r="I2587">
        <v>3000</v>
      </c>
    </row>
    <row r="2588" spans="1:9" x14ac:dyDescent="0.3">
      <c r="A2588" s="1">
        <v>46228</v>
      </c>
      <c r="B2588">
        <v>2026</v>
      </c>
      <c r="C2588">
        <v>7</v>
      </c>
      <c r="D2588" t="s">
        <v>50</v>
      </c>
      <c r="E2588" t="s">
        <v>41</v>
      </c>
      <c r="F2588" t="s">
        <v>28</v>
      </c>
      <c r="G2588" t="s">
        <v>29</v>
      </c>
      <c r="H2588">
        <v>2</v>
      </c>
      <c r="I2588">
        <v>6000</v>
      </c>
    </row>
    <row r="2589" spans="1:9" x14ac:dyDescent="0.3">
      <c r="A2589" s="1">
        <v>46274</v>
      </c>
      <c r="B2589">
        <v>2026</v>
      </c>
      <c r="C2589">
        <v>9</v>
      </c>
      <c r="D2589" t="s">
        <v>48</v>
      </c>
      <c r="E2589" t="s">
        <v>43</v>
      </c>
      <c r="F2589" t="s">
        <v>28</v>
      </c>
      <c r="G2589" t="s">
        <v>29</v>
      </c>
      <c r="H2589">
        <v>2</v>
      </c>
      <c r="I2589">
        <v>6000</v>
      </c>
    </row>
    <row r="2590" spans="1:9" x14ac:dyDescent="0.3">
      <c r="A2590" s="1">
        <v>46130</v>
      </c>
      <c r="B2590">
        <v>2026</v>
      </c>
      <c r="C2590">
        <v>4</v>
      </c>
      <c r="D2590" t="s">
        <v>48</v>
      </c>
      <c r="E2590" t="s">
        <v>43</v>
      </c>
      <c r="F2590" t="s">
        <v>28</v>
      </c>
      <c r="G2590" t="s">
        <v>29</v>
      </c>
      <c r="H2590">
        <v>3</v>
      </c>
      <c r="I2590">
        <v>9000</v>
      </c>
    </row>
    <row r="2591" spans="1:9" x14ac:dyDescent="0.3">
      <c r="A2591" s="1">
        <v>46041</v>
      </c>
      <c r="B2591">
        <v>2026</v>
      </c>
      <c r="C2591">
        <v>1</v>
      </c>
      <c r="D2591" t="s">
        <v>40</v>
      </c>
      <c r="E2591" t="s">
        <v>41</v>
      </c>
      <c r="F2591" t="s">
        <v>28</v>
      </c>
      <c r="G2591" t="s">
        <v>29</v>
      </c>
      <c r="H2591">
        <v>4</v>
      </c>
      <c r="I2591">
        <v>12000</v>
      </c>
    </row>
    <row r="2592" spans="1:9" x14ac:dyDescent="0.3">
      <c r="A2592" s="1">
        <v>46319</v>
      </c>
      <c r="B2592">
        <v>2026</v>
      </c>
      <c r="C2592">
        <v>10</v>
      </c>
      <c r="D2592" t="s">
        <v>50</v>
      </c>
      <c r="E2592" t="s">
        <v>41</v>
      </c>
      <c r="F2592" t="s">
        <v>28</v>
      </c>
      <c r="G2592" t="s">
        <v>29</v>
      </c>
      <c r="H2592">
        <v>5</v>
      </c>
      <c r="I2592">
        <v>15000</v>
      </c>
    </row>
    <row r="2593" spans="1:9" x14ac:dyDescent="0.3">
      <c r="A2593" s="1">
        <v>46151</v>
      </c>
      <c r="B2593">
        <v>2026</v>
      </c>
      <c r="C2593">
        <v>5</v>
      </c>
      <c r="D2593" t="s">
        <v>48</v>
      </c>
      <c r="E2593" t="s">
        <v>43</v>
      </c>
      <c r="F2593" t="s">
        <v>28</v>
      </c>
      <c r="G2593" t="s">
        <v>29</v>
      </c>
      <c r="H2593">
        <v>1</v>
      </c>
      <c r="I2593">
        <v>3000</v>
      </c>
    </row>
    <row r="2594" spans="1:9" x14ac:dyDescent="0.3">
      <c r="A2594" s="1">
        <v>46091</v>
      </c>
      <c r="B2594">
        <v>2026</v>
      </c>
      <c r="C2594">
        <v>3</v>
      </c>
      <c r="D2594" t="s">
        <v>40</v>
      </c>
      <c r="E2594" t="s">
        <v>41</v>
      </c>
      <c r="F2594" t="s">
        <v>28</v>
      </c>
      <c r="G2594" t="s">
        <v>29</v>
      </c>
      <c r="H2594">
        <v>5</v>
      </c>
      <c r="I2594">
        <v>15000</v>
      </c>
    </row>
    <row r="2595" spans="1:9" x14ac:dyDescent="0.3">
      <c r="A2595" s="1">
        <v>46202</v>
      </c>
      <c r="B2595">
        <v>2026</v>
      </c>
      <c r="C2595">
        <v>6</v>
      </c>
      <c r="D2595" t="s">
        <v>44</v>
      </c>
      <c r="E2595" t="s">
        <v>45</v>
      </c>
      <c r="F2595" t="s">
        <v>28</v>
      </c>
      <c r="G2595" t="s">
        <v>29</v>
      </c>
      <c r="H2595">
        <v>5</v>
      </c>
      <c r="I2595">
        <v>15000</v>
      </c>
    </row>
    <row r="2596" spans="1:9" x14ac:dyDescent="0.3">
      <c r="A2596" s="1">
        <v>46302</v>
      </c>
      <c r="B2596">
        <v>2026</v>
      </c>
      <c r="C2596">
        <v>10</v>
      </c>
      <c r="D2596" t="s">
        <v>49</v>
      </c>
      <c r="E2596" t="s">
        <v>47</v>
      </c>
      <c r="F2596" t="s">
        <v>28</v>
      </c>
      <c r="G2596" t="s">
        <v>29</v>
      </c>
      <c r="H2596">
        <v>5</v>
      </c>
      <c r="I2596">
        <v>15000</v>
      </c>
    </row>
    <row r="2597" spans="1:9" x14ac:dyDescent="0.3">
      <c r="A2597" s="1">
        <v>46266</v>
      </c>
      <c r="B2597">
        <v>2026</v>
      </c>
      <c r="C2597">
        <v>9</v>
      </c>
      <c r="D2597" t="s">
        <v>42</v>
      </c>
      <c r="E2597" t="s">
        <v>43</v>
      </c>
      <c r="F2597" t="s">
        <v>28</v>
      </c>
      <c r="G2597" t="s">
        <v>29</v>
      </c>
      <c r="H2597">
        <v>5</v>
      </c>
      <c r="I2597">
        <v>15000</v>
      </c>
    </row>
    <row r="2598" spans="1:9" x14ac:dyDescent="0.3">
      <c r="A2598" s="1">
        <v>46125</v>
      </c>
      <c r="B2598">
        <v>2026</v>
      </c>
      <c r="C2598">
        <v>4</v>
      </c>
      <c r="D2598" t="s">
        <v>40</v>
      </c>
      <c r="E2598" t="s">
        <v>41</v>
      </c>
      <c r="F2598" t="s">
        <v>28</v>
      </c>
      <c r="G2598" t="s">
        <v>29</v>
      </c>
      <c r="H2598">
        <v>2</v>
      </c>
      <c r="I2598">
        <v>6000</v>
      </c>
    </row>
    <row r="2599" spans="1:9" x14ac:dyDescent="0.3">
      <c r="A2599" s="1">
        <v>46275</v>
      </c>
      <c r="B2599">
        <v>2026</v>
      </c>
      <c r="C2599">
        <v>9</v>
      </c>
      <c r="D2599" t="s">
        <v>48</v>
      </c>
      <c r="E2599" t="s">
        <v>43</v>
      </c>
      <c r="F2599" t="s">
        <v>28</v>
      </c>
      <c r="G2599" t="s">
        <v>29</v>
      </c>
      <c r="H2599">
        <v>4</v>
      </c>
      <c r="I2599">
        <v>12000</v>
      </c>
    </row>
    <row r="2600" spans="1:9" x14ac:dyDescent="0.3">
      <c r="A2600" s="1">
        <v>46222</v>
      </c>
      <c r="B2600">
        <v>2026</v>
      </c>
      <c r="C2600">
        <v>7</v>
      </c>
      <c r="D2600" t="s">
        <v>49</v>
      </c>
      <c r="E2600" t="s">
        <v>47</v>
      </c>
      <c r="F2600" t="s">
        <v>28</v>
      </c>
      <c r="G2600" t="s">
        <v>29</v>
      </c>
      <c r="H2600">
        <v>3</v>
      </c>
      <c r="I2600">
        <v>9000</v>
      </c>
    </row>
    <row r="2601" spans="1:9" x14ac:dyDescent="0.3">
      <c r="A2601" s="1">
        <v>46147</v>
      </c>
      <c r="B2601">
        <v>2026</v>
      </c>
      <c r="C2601">
        <v>5</v>
      </c>
      <c r="D2601" t="s">
        <v>50</v>
      </c>
      <c r="E2601" t="s">
        <v>41</v>
      </c>
      <c r="F2601" t="s">
        <v>28</v>
      </c>
      <c r="G2601" t="s">
        <v>29</v>
      </c>
      <c r="H2601">
        <v>3</v>
      </c>
      <c r="I2601">
        <v>9000</v>
      </c>
    </row>
    <row r="2602" spans="1:9" x14ac:dyDescent="0.3">
      <c r="A2602" s="1">
        <v>46027</v>
      </c>
      <c r="B2602">
        <v>2026</v>
      </c>
      <c r="C2602">
        <v>1</v>
      </c>
      <c r="D2602" t="s">
        <v>42</v>
      </c>
      <c r="E2602" t="s">
        <v>43</v>
      </c>
      <c r="F2602" t="s">
        <v>28</v>
      </c>
      <c r="G2602" t="s">
        <v>29</v>
      </c>
      <c r="H2602">
        <v>2</v>
      </c>
      <c r="I2602">
        <v>6000</v>
      </c>
    </row>
    <row r="2603" spans="1:9" x14ac:dyDescent="0.3">
      <c r="A2603" s="1">
        <v>46032</v>
      </c>
      <c r="B2603">
        <v>2026</v>
      </c>
      <c r="C2603">
        <v>1</v>
      </c>
      <c r="D2603" t="s">
        <v>46</v>
      </c>
      <c r="E2603" t="s">
        <v>47</v>
      </c>
      <c r="F2603" t="s">
        <v>28</v>
      </c>
      <c r="G2603" t="s">
        <v>29</v>
      </c>
      <c r="H2603">
        <v>2</v>
      </c>
      <c r="I2603">
        <v>6000</v>
      </c>
    </row>
    <row r="2604" spans="1:9" x14ac:dyDescent="0.3">
      <c r="A2604" s="1">
        <v>46240</v>
      </c>
      <c r="B2604">
        <v>2026</v>
      </c>
      <c r="C2604">
        <v>8</v>
      </c>
      <c r="D2604" t="s">
        <v>51</v>
      </c>
      <c r="E2604" t="s">
        <v>45</v>
      </c>
      <c r="F2604" t="s">
        <v>28</v>
      </c>
      <c r="G2604" t="s">
        <v>29</v>
      </c>
      <c r="H2604">
        <v>2</v>
      </c>
      <c r="I2604">
        <v>6000</v>
      </c>
    </row>
    <row r="2605" spans="1:9" x14ac:dyDescent="0.3">
      <c r="A2605" s="1">
        <v>46296</v>
      </c>
      <c r="B2605">
        <v>2026</v>
      </c>
      <c r="C2605">
        <v>10</v>
      </c>
      <c r="D2605" t="s">
        <v>46</v>
      </c>
      <c r="E2605" t="s">
        <v>47</v>
      </c>
      <c r="F2605" t="s">
        <v>28</v>
      </c>
      <c r="G2605" t="s">
        <v>29</v>
      </c>
      <c r="H2605">
        <v>3</v>
      </c>
      <c r="I2605">
        <v>9000</v>
      </c>
    </row>
    <row r="2606" spans="1:9" x14ac:dyDescent="0.3">
      <c r="A2606" s="1">
        <v>46122</v>
      </c>
      <c r="B2606">
        <v>2026</v>
      </c>
      <c r="C2606">
        <v>4</v>
      </c>
      <c r="D2606" t="s">
        <v>50</v>
      </c>
      <c r="E2606" t="s">
        <v>41</v>
      </c>
      <c r="F2606" t="s">
        <v>28</v>
      </c>
      <c r="G2606" t="s">
        <v>29</v>
      </c>
      <c r="H2606">
        <v>4</v>
      </c>
      <c r="I2606">
        <v>12000</v>
      </c>
    </row>
    <row r="2607" spans="1:9" x14ac:dyDescent="0.3">
      <c r="A2607" s="1">
        <v>46098</v>
      </c>
      <c r="B2607">
        <v>2026</v>
      </c>
      <c r="C2607">
        <v>3</v>
      </c>
      <c r="D2607" t="s">
        <v>42</v>
      </c>
      <c r="E2607" t="s">
        <v>43</v>
      </c>
      <c r="F2607" t="s">
        <v>28</v>
      </c>
      <c r="G2607" t="s">
        <v>29</v>
      </c>
      <c r="H2607">
        <v>2</v>
      </c>
      <c r="I2607">
        <v>6000</v>
      </c>
    </row>
    <row r="2608" spans="1:9" x14ac:dyDescent="0.3">
      <c r="A2608" s="1">
        <v>46121</v>
      </c>
      <c r="B2608">
        <v>2026</v>
      </c>
      <c r="C2608">
        <v>4</v>
      </c>
      <c r="D2608" t="s">
        <v>46</v>
      </c>
      <c r="E2608" t="s">
        <v>47</v>
      </c>
      <c r="F2608" t="s">
        <v>28</v>
      </c>
      <c r="G2608" t="s">
        <v>29</v>
      </c>
      <c r="H2608">
        <v>3</v>
      </c>
      <c r="I2608">
        <v>9000</v>
      </c>
    </row>
    <row r="2609" spans="1:9" x14ac:dyDescent="0.3">
      <c r="A2609" s="1">
        <v>46231</v>
      </c>
      <c r="B2609">
        <v>2026</v>
      </c>
      <c r="C2609">
        <v>7</v>
      </c>
      <c r="D2609" t="s">
        <v>50</v>
      </c>
      <c r="E2609" t="s">
        <v>41</v>
      </c>
      <c r="F2609" t="s">
        <v>28</v>
      </c>
      <c r="G2609" t="s">
        <v>29</v>
      </c>
      <c r="H2609">
        <v>4</v>
      </c>
      <c r="I2609">
        <v>12000</v>
      </c>
    </row>
    <row r="2610" spans="1:9" x14ac:dyDescent="0.3">
      <c r="A2610" s="1">
        <v>46323</v>
      </c>
      <c r="B2610">
        <v>2026</v>
      </c>
      <c r="C2610">
        <v>10</v>
      </c>
      <c r="D2610" t="s">
        <v>40</v>
      </c>
      <c r="E2610" t="s">
        <v>41</v>
      </c>
      <c r="F2610" t="s">
        <v>28</v>
      </c>
      <c r="G2610" t="s">
        <v>29</v>
      </c>
      <c r="H2610">
        <v>4</v>
      </c>
      <c r="I2610">
        <v>12000</v>
      </c>
    </row>
    <row r="2611" spans="1:9" x14ac:dyDescent="0.3">
      <c r="A2611" s="1">
        <v>46141</v>
      </c>
      <c r="B2611">
        <v>2026</v>
      </c>
      <c r="C2611">
        <v>4</v>
      </c>
      <c r="D2611" t="s">
        <v>42</v>
      </c>
      <c r="E2611" t="s">
        <v>43</v>
      </c>
      <c r="F2611" t="s">
        <v>28</v>
      </c>
      <c r="G2611" t="s">
        <v>29</v>
      </c>
      <c r="H2611">
        <v>5</v>
      </c>
      <c r="I2611">
        <v>15000</v>
      </c>
    </row>
    <row r="2612" spans="1:9" x14ac:dyDescent="0.3">
      <c r="A2612" s="1">
        <v>46073</v>
      </c>
      <c r="B2612">
        <v>2026</v>
      </c>
      <c r="C2612">
        <v>2</v>
      </c>
      <c r="D2612" t="s">
        <v>48</v>
      </c>
      <c r="E2612" t="s">
        <v>43</v>
      </c>
      <c r="F2612" t="s">
        <v>28</v>
      </c>
      <c r="G2612" t="s">
        <v>29</v>
      </c>
      <c r="H2612">
        <v>3</v>
      </c>
      <c r="I2612">
        <v>9000</v>
      </c>
    </row>
    <row r="2613" spans="1:9" x14ac:dyDescent="0.3">
      <c r="A2613" s="1">
        <v>46236</v>
      </c>
      <c r="B2613">
        <v>2026</v>
      </c>
      <c r="C2613">
        <v>8</v>
      </c>
      <c r="D2613" t="s">
        <v>49</v>
      </c>
      <c r="E2613" t="s">
        <v>47</v>
      </c>
      <c r="F2613" t="s">
        <v>28</v>
      </c>
      <c r="G2613" t="s">
        <v>29</v>
      </c>
      <c r="H2613">
        <v>1</v>
      </c>
      <c r="I2613">
        <v>3000</v>
      </c>
    </row>
    <row r="2614" spans="1:9" x14ac:dyDescent="0.3">
      <c r="A2614" s="1">
        <v>46118</v>
      </c>
      <c r="B2614">
        <v>2026</v>
      </c>
      <c r="C2614">
        <v>4</v>
      </c>
      <c r="D2614" t="s">
        <v>44</v>
      </c>
      <c r="E2614" t="s">
        <v>45</v>
      </c>
      <c r="F2614" t="s">
        <v>28</v>
      </c>
      <c r="G2614" t="s">
        <v>29</v>
      </c>
      <c r="H2614">
        <v>2</v>
      </c>
      <c r="I2614">
        <v>6000</v>
      </c>
    </row>
    <row r="2615" spans="1:9" x14ac:dyDescent="0.3">
      <c r="A2615" s="1">
        <v>46234</v>
      </c>
      <c r="B2615">
        <v>2026</v>
      </c>
      <c r="C2615">
        <v>7</v>
      </c>
      <c r="D2615" t="s">
        <v>42</v>
      </c>
      <c r="E2615" t="s">
        <v>43</v>
      </c>
      <c r="F2615" t="s">
        <v>28</v>
      </c>
      <c r="G2615" t="s">
        <v>29</v>
      </c>
      <c r="H2615">
        <v>1</v>
      </c>
      <c r="I2615">
        <v>3000</v>
      </c>
    </row>
    <row r="2616" spans="1:9" x14ac:dyDescent="0.3">
      <c r="A2616" s="1">
        <v>46087</v>
      </c>
      <c r="B2616">
        <v>2026</v>
      </c>
      <c r="C2616">
        <v>3</v>
      </c>
      <c r="D2616" t="s">
        <v>44</v>
      </c>
      <c r="E2616" t="s">
        <v>45</v>
      </c>
      <c r="F2616" t="s">
        <v>28</v>
      </c>
      <c r="G2616" t="s">
        <v>29</v>
      </c>
      <c r="H2616">
        <v>1</v>
      </c>
      <c r="I2616">
        <v>3000</v>
      </c>
    </row>
    <row r="2617" spans="1:9" x14ac:dyDescent="0.3">
      <c r="A2617" s="1">
        <v>46109</v>
      </c>
      <c r="B2617">
        <v>2026</v>
      </c>
      <c r="C2617">
        <v>3</v>
      </c>
      <c r="D2617" t="s">
        <v>49</v>
      </c>
      <c r="E2617" t="s">
        <v>47</v>
      </c>
      <c r="F2617" t="s">
        <v>28</v>
      </c>
      <c r="G2617" t="s">
        <v>29</v>
      </c>
      <c r="H2617">
        <v>4</v>
      </c>
      <c r="I2617">
        <v>12000</v>
      </c>
    </row>
    <row r="2618" spans="1:9" x14ac:dyDescent="0.3">
      <c r="A2618" s="1">
        <v>46035</v>
      </c>
      <c r="B2618">
        <v>2026</v>
      </c>
      <c r="C2618">
        <v>1</v>
      </c>
      <c r="D2618" t="s">
        <v>40</v>
      </c>
      <c r="E2618" t="s">
        <v>41</v>
      </c>
      <c r="F2618" t="s">
        <v>28</v>
      </c>
      <c r="G2618" t="s">
        <v>29</v>
      </c>
      <c r="H2618">
        <v>4</v>
      </c>
      <c r="I2618">
        <v>12000</v>
      </c>
    </row>
    <row r="2619" spans="1:9" x14ac:dyDescent="0.3">
      <c r="A2619" s="1">
        <v>46262</v>
      </c>
      <c r="B2619">
        <v>2026</v>
      </c>
      <c r="C2619">
        <v>8</v>
      </c>
      <c r="D2619" t="s">
        <v>40</v>
      </c>
      <c r="E2619" t="s">
        <v>41</v>
      </c>
      <c r="F2619" t="s">
        <v>28</v>
      </c>
      <c r="G2619" t="s">
        <v>29</v>
      </c>
      <c r="H2619">
        <v>3</v>
      </c>
      <c r="I2619">
        <v>9000</v>
      </c>
    </row>
    <row r="2620" spans="1:9" x14ac:dyDescent="0.3">
      <c r="A2620" s="1">
        <v>46143</v>
      </c>
      <c r="B2620">
        <v>2026</v>
      </c>
      <c r="C2620">
        <v>5</v>
      </c>
      <c r="D2620" t="s">
        <v>49</v>
      </c>
      <c r="E2620" t="s">
        <v>47</v>
      </c>
      <c r="F2620" t="s">
        <v>28</v>
      </c>
      <c r="G2620" t="s">
        <v>29</v>
      </c>
      <c r="H2620">
        <v>3</v>
      </c>
      <c r="I2620">
        <v>9000</v>
      </c>
    </row>
    <row r="2621" spans="1:9" x14ac:dyDescent="0.3">
      <c r="A2621" s="1">
        <v>46143</v>
      </c>
      <c r="B2621">
        <v>2026</v>
      </c>
      <c r="C2621">
        <v>5</v>
      </c>
      <c r="D2621" t="s">
        <v>42</v>
      </c>
      <c r="E2621" t="s">
        <v>43</v>
      </c>
      <c r="F2621" t="s">
        <v>28</v>
      </c>
      <c r="G2621" t="s">
        <v>29</v>
      </c>
      <c r="H2621">
        <v>3</v>
      </c>
      <c r="I2621">
        <v>9000</v>
      </c>
    </row>
    <row r="2622" spans="1:9" x14ac:dyDescent="0.3">
      <c r="A2622" s="1">
        <v>46054</v>
      </c>
      <c r="B2622">
        <v>2026</v>
      </c>
      <c r="C2622">
        <v>2</v>
      </c>
      <c r="D2622" t="s">
        <v>49</v>
      </c>
      <c r="E2622" t="s">
        <v>47</v>
      </c>
      <c r="F2622" t="s">
        <v>28</v>
      </c>
      <c r="G2622" t="s">
        <v>29</v>
      </c>
      <c r="H2622">
        <v>2</v>
      </c>
      <c r="I2622">
        <v>6000</v>
      </c>
    </row>
    <row r="2623" spans="1:9" x14ac:dyDescent="0.3">
      <c r="A2623" s="1">
        <v>46262</v>
      </c>
      <c r="B2623">
        <v>2026</v>
      </c>
      <c r="C2623">
        <v>8</v>
      </c>
      <c r="D2623" t="s">
        <v>48</v>
      </c>
      <c r="E2623" t="s">
        <v>43</v>
      </c>
      <c r="F2623" t="s">
        <v>28</v>
      </c>
      <c r="G2623" t="s">
        <v>29</v>
      </c>
      <c r="H2623">
        <v>1</v>
      </c>
      <c r="I2623">
        <v>3000</v>
      </c>
    </row>
    <row r="2624" spans="1:9" x14ac:dyDescent="0.3">
      <c r="A2624" s="1">
        <v>46241</v>
      </c>
      <c r="B2624">
        <v>2026</v>
      </c>
      <c r="C2624">
        <v>8</v>
      </c>
      <c r="D2624" t="s">
        <v>40</v>
      </c>
      <c r="E2624" t="s">
        <v>41</v>
      </c>
      <c r="F2624" t="s">
        <v>28</v>
      </c>
      <c r="G2624" t="s">
        <v>29</v>
      </c>
      <c r="H2624">
        <v>2</v>
      </c>
      <c r="I2624">
        <v>6000</v>
      </c>
    </row>
    <row r="2625" spans="1:9" x14ac:dyDescent="0.3">
      <c r="A2625" s="1">
        <v>46157</v>
      </c>
      <c r="B2625">
        <v>2026</v>
      </c>
      <c r="C2625">
        <v>5</v>
      </c>
      <c r="D2625" t="s">
        <v>51</v>
      </c>
      <c r="E2625" t="s">
        <v>45</v>
      </c>
      <c r="F2625" t="s">
        <v>28</v>
      </c>
      <c r="G2625" t="s">
        <v>29</v>
      </c>
      <c r="H2625">
        <v>4</v>
      </c>
      <c r="I2625">
        <v>12000</v>
      </c>
    </row>
    <row r="2626" spans="1:9" x14ac:dyDescent="0.3">
      <c r="A2626" s="1">
        <v>46240</v>
      </c>
      <c r="B2626">
        <v>2026</v>
      </c>
      <c r="C2626">
        <v>8</v>
      </c>
      <c r="D2626" t="s">
        <v>46</v>
      </c>
      <c r="E2626" t="s">
        <v>47</v>
      </c>
      <c r="F2626" t="s">
        <v>28</v>
      </c>
      <c r="G2626" t="s">
        <v>29</v>
      </c>
      <c r="H2626">
        <v>2</v>
      </c>
      <c r="I2626">
        <v>6000</v>
      </c>
    </row>
    <row r="2627" spans="1:9" x14ac:dyDescent="0.3">
      <c r="A2627" s="1">
        <v>46314</v>
      </c>
      <c r="B2627">
        <v>2026</v>
      </c>
      <c r="C2627">
        <v>10</v>
      </c>
      <c r="D2627" t="s">
        <v>50</v>
      </c>
      <c r="E2627" t="s">
        <v>41</v>
      </c>
      <c r="F2627" t="s">
        <v>28</v>
      </c>
      <c r="G2627" t="s">
        <v>29</v>
      </c>
      <c r="H2627">
        <v>4</v>
      </c>
      <c r="I2627">
        <v>12000</v>
      </c>
    </row>
    <row r="2628" spans="1:9" x14ac:dyDescent="0.3">
      <c r="A2628" s="1">
        <v>46048</v>
      </c>
      <c r="B2628">
        <v>2026</v>
      </c>
      <c r="C2628">
        <v>1</v>
      </c>
      <c r="D2628" t="s">
        <v>46</v>
      </c>
      <c r="E2628" t="s">
        <v>47</v>
      </c>
      <c r="F2628" t="s">
        <v>28</v>
      </c>
      <c r="G2628" t="s">
        <v>29</v>
      </c>
      <c r="H2628">
        <v>4</v>
      </c>
      <c r="I2628">
        <v>12000</v>
      </c>
    </row>
    <row r="2629" spans="1:9" x14ac:dyDescent="0.3">
      <c r="A2629" s="1">
        <v>46161</v>
      </c>
      <c r="B2629">
        <v>2026</v>
      </c>
      <c r="C2629">
        <v>5</v>
      </c>
      <c r="D2629" t="s">
        <v>50</v>
      </c>
      <c r="E2629" t="s">
        <v>41</v>
      </c>
      <c r="F2629" t="s">
        <v>28</v>
      </c>
      <c r="G2629" t="s">
        <v>29</v>
      </c>
      <c r="H2629">
        <v>3</v>
      </c>
      <c r="I2629">
        <v>9000</v>
      </c>
    </row>
    <row r="2630" spans="1:9" x14ac:dyDescent="0.3">
      <c r="A2630" s="1">
        <v>46057</v>
      </c>
      <c r="B2630">
        <v>2026</v>
      </c>
      <c r="C2630">
        <v>2</v>
      </c>
      <c r="D2630" t="s">
        <v>51</v>
      </c>
      <c r="E2630" t="s">
        <v>45</v>
      </c>
      <c r="F2630" t="s">
        <v>28</v>
      </c>
      <c r="G2630" t="s">
        <v>29</v>
      </c>
      <c r="H2630">
        <v>2</v>
      </c>
      <c r="I2630">
        <v>6000</v>
      </c>
    </row>
    <row r="2631" spans="1:9" x14ac:dyDescent="0.3">
      <c r="A2631" s="1">
        <v>46137</v>
      </c>
      <c r="B2631">
        <v>2026</v>
      </c>
      <c r="C2631">
        <v>4</v>
      </c>
      <c r="D2631" t="s">
        <v>48</v>
      </c>
      <c r="E2631" t="s">
        <v>43</v>
      </c>
      <c r="F2631" t="s">
        <v>28</v>
      </c>
      <c r="G2631" t="s">
        <v>29</v>
      </c>
      <c r="H2631">
        <v>4</v>
      </c>
      <c r="I2631">
        <v>12000</v>
      </c>
    </row>
    <row r="2632" spans="1:9" x14ac:dyDescent="0.3">
      <c r="A2632" s="1">
        <v>46250</v>
      </c>
      <c r="B2632">
        <v>2026</v>
      </c>
      <c r="C2632">
        <v>8</v>
      </c>
      <c r="D2632" t="s">
        <v>46</v>
      </c>
      <c r="E2632" t="s">
        <v>47</v>
      </c>
      <c r="F2632" t="s">
        <v>28</v>
      </c>
      <c r="G2632" t="s">
        <v>29</v>
      </c>
      <c r="H2632">
        <v>5</v>
      </c>
      <c r="I2632">
        <v>15000</v>
      </c>
    </row>
    <row r="2633" spans="1:9" x14ac:dyDescent="0.3">
      <c r="A2633" s="1">
        <v>46125</v>
      </c>
      <c r="B2633">
        <v>2026</v>
      </c>
      <c r="C2633">
        <v>4</v>
      </c>
      <c r="D2633" t="s">
        <v>44</v>
      </c>
      <c r="E2633" t="s">
        <v>45</v>
      </c>
      <c r="F2633" t="s">
        <v>28</v>
      </c>
      <c r="G2633" t="s">
        <v>29</v>
      </c>
      <c r="H2633">
        <v>4</v>
      </c>
      <c r="I2633">
        <v>12000</v>
      </c>
    </row>
    <row r="2634" spans="1:9" x14ac:dyDescent="0.3">
      <c r="A2634" s="1">
        <v>46031</v>
      </c>
      <c r="B2634">
        <v>2026</v>
      </c>
      <c r="C2634">
        <v>1</v>
      </c>
      <c r="D2634" t="s">
        <v>48</v>
      </c>
      <c r="E2634" t="s">
        <v>43</v>
      </c>
      <c r="F2634" t="s">
        <v>28</v>
      </c>
      <c r="G2634" t="s">
        <v>29</v>
      </c>
      <c r="H2634">
        <v>2</v>
      </c>
      <c r="I2634">
        <v>6000</v>
      </c>
    </row>
    <row r="2635" spans="1:9" x14ac:dyDescent="0.3">
      <c r="A2635" s="1">
        <v>46145</v>
      </c>
      <c r="B2635">
        <v>2026</v>
      </c>
      <c r="C2635">
        <v>5</v>
      </c>
      <c r="D2635" t="s">
        <v>49</v>
      </c>
      <c r="E2635" t="s">
        <v>47</v>
      </c>
      <c r="F2635" t="s">
        <v>28</v>
      </c>
      <c r="G2635" t="s">
        <v>29</v>
      </c>
      <c r="H2635">
        <v>4</v>
      </c>
      <c r="I2635">
        <v>12000</v>
      </c>
    </row>
    <row r="2636" spans="1:9" x14ac:dyDescent="0.3">
      <c r="A2636" s="1">
        <v>46069</v>
      </c>
      <c r="B2636">
        <v>2026</v>
      </c>
      <c r="C2636">
        <v>2</v>
      </c>
      <c r="D2636" t="s">
        <v>48</v>
      </c>
      <c r="E2636" t="s">
        <v>43</v>
      </c>
      <c r="F2636" t="s">
        <v>28</v>
      </c>
      <c r="G2636" t="s">
        <v>29</v>
      </c>
      <c r="H2636">
        <v>5</v>
      </c>
      <c r="I2636">
        <v>15000</v>
      </c>
    </row>
    <row r="2637" spans="1:9" x14ac:dyDescent="0.3">
      <c r="A2637" s="1">
        <v>46223</v>
      </c>
      <c r="B2637">
        <v>2026</v>
      </c>
      <c r="C2637">
        <v>7</v>
      </c>
      <c r="D2637" t="s">
        <v>44</v>
      </c>
      <c r="E2637" t="s">
        <v>45</v>
      </c>
      <c r="F2637" t="s">
        <v>28</v>
      </c>
      <c r="G2637" t="s">
        <v>29</v>
      </c>
      <c r="H2637">
        <v>1</v>
      </c>
      <c r="I2637">
        <v>3000</v>
      </c>
    </row>
    <row r="2638" spans="1:9" x14ac:dyDescent="0.3">
      <c r="A2638" s="1">
        <v>46106</v>
      </c>
      <c r="B2638">
        <v>2026</v>
      </c>
      <c r="C2638">
        <v>3</v>
      </c>
      <c r="D2638" t="s">
        <v>49</v>
      </c>
      <c r="E2638" t="s">
        <v>47</v>
      </c>
      <c r="F2638" t="s">
        <v>28</v>
      </c>
      <c r="G2638" t="s">
        <v>29</v>
      </c>
      <c r="H2638">
        <v>3</v>
      </c>
      <c r="I2638">
        <v>9000</v>
      </c>
    </row>
    <row r="2639" spans="1:9" x14ac:dyDescent="0.3">
      <c r="A2639" s="1">
        <v>46325</v>
      </c>
      <c r="B2639">
        <v>2026</v>
      </c>
      <c r="C2639">
        <v>10</v>
      </c>
      <c r="D2639" t="s">
        <v>48</v>
      </c>
      <c r="E2639" t="s">
        <v>43</v>
      </c>
      <c r="F2639" t="s">
        <v>28</v>
      </c>
      <c r="G2639" t="s">
        <v>29</v>
      </c>
      <c r="H2639">
        <v>4</v>
      </c>
      <c r="I2639">
        <v>12000</v>
      </c>
    </row>
    <row r="2640" spans="1:9" x14ac:dyDescent="0.3">
      <c r="A2640" s="1">
        <v>46068</v>
      </c>
      <c r="B2640">
        <v>2026</v>
      </c>
      <c r="C2640">
        <v>2</v>
      </c>
      <c r="D2640" t="s">
        <v>50</v>
      </c>
      <c r="E2640" t="s">
        <v>41</v>
      </c>
      <c r="F2640" t="s">
        <v>28</v>
      </c>
      <c r="G2640" t="s">
        <v>29</v>
      </c>
      <c r="H2640">
        <v>5</v>
      </c>
      <c r="I2640">
        <v>15000</v>
      </c>
    </row>
    <row r="2641" spans="1:9" x14ac:dyDescent="0.3">
      <c r="A2641" s="1">
        <v>46241</v>
      </c>
      <c r="B2641">
        <v>2026</v>
      </c>
      <c r="C2641">
        <v>8</v>
      </c>
      <c r="D2641" t="s">
        <v>40</v>
      </c>
      <c r="E2641" t="s">
        <v>41</v>
      </c>
      <c r="F2641" t="s">
        <v>28</v>
      </c>
      <c r="G2641" t="s">
        <v>29</v>
      </c>
      <c r="H2641">
        <v>1</v>
      </c>
      <c r="I2641">
        <v>3000</v>
      </c>
    </row>
    <row r="2642" spans="1:9" x14ac:dyDescent="0.3">
      <c r="A2642" s="1">
        <v>46267</v>
      </c>
      <c r="B2642">
        <v>2026</v>
      </c>
      <c r="C2642">
        <v>9</v>
      </c>
      <c r="D2642" t="s">
        <v>46</v>
      </c>
      <c r="E2642" t="s">
        <v>47</v>
      </c>
      <c r="F2642" t="s">
        <v>28</v>
      </c>
      <c r="G2642" t="s">
        <v>29</v>
      </c>
      <c r="H2642">
        <v>1</v>
      </c>
      <c r="I2642">
        <v>3000</v>
      </c>
    </row>
    <row r="2643" spans="1:9" x14ac:dyDescent="0.3">
      <c r="A2643" s="1">
        <v>46221</v>
      </c>
      <c r="B2643">
        <v>2026</v>
      </c>
      <c r="C2643">
        <v>7</v>
      </c>
      <c r="D2643" t="s">
        <v>50</v>
      </c>
      <c r="E2643" t="s">
        <v>41</v>
      </c>
      <c r="F2643" t="s">
        <v>28</v>
      </c>
      <c r="G2643" t="s">
        <v>29</v>
      </c>
      <c r="H2643">
        <v>4</v>
      </c>
      <c r="I2643">
        <v>12000</v>
      </c>
    </row>
    <row r="2644" spans="1:9" x14ac:dyDescent="0.3">
      <c r="A2644" s="1">
        <v>46044</v>
      </c>
      <c r="B2644">
        <v>2026</v>
      </c>
      <c r="C2644">
        <v>1</v>
      </c>
      <c r="D2644" t="s">
        <v>46</v>
      </c>
      <c r="E2644" t="s">
        <v>47</v>
      </c>
      <c r="F2644" t="s">
        <v>28</v>
      </c>
      <c r="G2644" t="s">
        <v>29</v>
      </c>
      <c r="H2644">
        <v>3</v>
      </c>
      <c r="I2644">
        <v>9000</v>
      </c>
    </row>
    <row r="2645" spans="1:9" x14ac:dyDescent="0.3">
      <c r="A2645" s="1">
        <v>46252</v>
      </c>
      <c r="B2645">
        <v>2026</v>
      </c>
      <c r="C2645">
        <v>8</v>
      </c>
      <c r="D2645" t="s">
        <v>44</v>
      </c>
      <c r="E2645" t="s">
        <v>45</v>
      </c>
      <c r="F2645" t="s">
        <v>28</v>
      </c>
      <c r="G2645" t="s">
        <v>29</v>
      </c>
      <c r="H2645">
        <v>3</v>
      </c>
      <c r="I2645">
        <v>9000</v>
      </c>
    </row>
    <row r="2646" spans="1:9" x14ac:dyDescent="0.3">
      <c r="A2646" s="1">
        <v>46308</v>
      </c>
      <c r="B2646">
        <v>2026</v>
      </c>
      <c r="C2646">
        <v>10</v>
      </c>
      <c r="D2646" t="s">
        <v>44</v>
      </c>
      <c r="E2646" t="s">
        <v>45</v>
      </c>
      <c r="F2646" t="s">
        <v>28</v>
      </c>
      <c r="G2646" t="s">
        <v>29</v>
      </c>
      <c r="H2646">
        <v>3</v>
      </c>
      <c r="I2646">
        <v>9000</v>
      </c>
    </row>
    <row r="2647" spans="1:9" x14ac:dyDescent="0.3">
      <c r="A2647" s="1">
        <v>46227</v>
      </c>
      <c r="B2647">
        <v>2026</v>
      </c>
      <c r="C2647">
        <v>7</v>
      </c>
      <c r="D2647" t="s">
        <v>51</v>
      </c>
      <c r="E2647" t="s">
        <v>45</v>
      </c>
      <c r="F2647" t="s">
        <v>28</v>
      </c>
      <c r="G2647" t="s">
        <v>29</v>
      </c>
      <c r="H2647">
        <v>5</v>
      </c>
      <c r="I2647">
        <v>15000</v>
      </c>
    </row>
    <row r="2648" spans="1:9" x14ac:dyDescent="0.3">
      <c r="A2648" s="1">
        <v>46172</v>
      </c>
      <c r="B2648">
        <v>2026</v>
      </c>
      <c r="C2648">
        <v>5</v>
      </c>
      <c r="D2648" t="s">
        <v>48</v>
      </c>
      <c r="E2648" t="s">
        <v>43</v>
      </c>
      <c r="F2648" t="s">
        <v>28</v>
      </c>
      <c r="G2648" t="s">
        <v>29</v>
      </c>
      <c r="H2648">
        <v>3</v>
      </c>
      <c r="I2648">
        <v>9000</v>
      </c>
    </row>
    <row r="2649" spans="1:9" x14ac:dyDescent="0.3">
      <c r="A2649" s="1">
        <v>46240</v>
      </c>
      <c r="B2649">
        <v>2026</v>
      </c>
      <c r="C2649">
        <v>8</v>
      </c>
      <c r="D2649" t="s">
        <v>40</v>
      </c>
      <c r="E2649" t="s">
        <v>41</v>
      </c>
      <c r="F2649" t="s">
        <v>28</v>
      </c>
      <c r="G2649" t="s">
        <v>29</v>
      </c>
      <c r="H2649">
        <v>4</v>
      </c>
      <c r="I2649">
        <v>12000</v>
      </c>
    </row>
    <row r="2650" spans="1:9" x14ac:dyDescent="0.3">
      <c r="A2650" s="1">
        <v>46192</v>
      </c>
      <c r="B2650">
        <v>2026</v>
      </c>
      <c r="C2650">
        <v>6</v>
      </c>
      <c r="D2650" t="s">
        <v>50</v>
      </c>
      <c r="E2650" t="s">
        <v>41</v>
      </c>
      <c r="F2650" t="s">
        <v>28</v>
      </c>
      <c r="G2650" t="s">
        <v>29</v>
      </c>
      <c r="H2650">
        <v>3</v>
      </c>
      <c r="I2650">
        <v>9000</v>
      </c>
    </row>
    <row r="2651" spans="1:9" x14ac:dyDescent="0.3">
      <c r="A2651" s="1">
        <v>46040</v>
      </c>
      <c r="B2651">
        <v>2026</v>
      </c>
      <c r="C2651">
        <v>1</v>
      </c>
      <c r="D2651" t="s">
        <v>51</v>
      </c>
      <c r="E2651" t="s">
        <v>45</v>
      </c>
      <c r="F2651" t="s">
        <v>28</v>
      </c>
      <c r="G2651" t="s">
        <v>29</v>
      </c>
      <c r="H2651">
        <v>5</v>
      </c>
      <c r="I2651">
        <v>15000</v>
      </c>
    </row>
    <row r="2652" spans="1:9" x14ac:dyDescent="0.3">
      <c r="A2652" s="1">
        <v>46270</v>
      </c>
      <c r="B2652">
        <v>2026</v>
      </c>
      <c r="C2652">
        <v>9</v>
      </c>
      <c r="D2652" t="s">
        <v>49</v>
      </c>
      <c r="E2652" t="s">
        <v>47</v>
      </c>
      <c r="F2652" t="s">
        <v>28</v>
      </c>
      <c r="G2652" t="s">
        <v>29</v>
      </c>
      <c r="H2652">
        <v>4</v>
      </c>
      <c r="I2652">
        <v>12000</v>
      </c>
    </row>
    <row r="2653" spans="1:9" x14ac:dyDescent="0.3">
      <c r="A2653" s="1">
        <v>46071</v>
      </c>
      <c r="B2653">
        <v>2026</v>
      </c>
      <c r="C2653">
        <v>2</v>
      </c>
      <c r="D2653" t="s">
        <v>49</v>
      </c>
      <c r="E2653" t="s">
        <v>47</v>
      </c>
      <c r="F2653" t="s">
        <v>28</v>
      </c>
      <c r="G2653" t="s">
        <v>29</v>
      </c>
      <c r="H2653">
        <v>3</v>
      </c>
      <c r="I2653">
        <v>9000</v>
      </c>
    </row>
    <row r="2654" spans="1:9" x14ac:dyDescent="0.3">
      <c r="A2654" s="1">
        <v>46285</v>
      </c>
      <c r="B2654">
        <v>2026</v>
      </c>
      <c r="C2654">
        <v>9</v>
      </c>
      <c r="D2654" t="s">
        <v>40</v>
      </c>
      <c r="E2654" t="s">
        <v>41</v>
      </c>
      <c r="F2654" t="s">
        <v>28</v>
      </c>
      <c r="G2654" t="s">
        <v>29</v>
      </c>
      <c r="H2654">
        <v>2</v>
      </c>
      <c r="I2654">
        <v>6000</v>
      </c>
    </row>
    <row r="2655" spans="1:9" x14ac:dyDescent="0.3">
      <c r="A2655" s="1">
        <v>46280</v>
      </c>
      <c r="B2655">
        <v>2026</v>
      </c>
      <c r="C2655">
        <v>9</v>
      </c>
      <c r="D2655" t="s">
        <v>40</v>
      </c>
      <c r="E2655" t="s">
        <v>41</v>
      </c>
      <c r="F2655" t="s">
        <v>28</v>
      </c>
      <c r="G2655" t="s">
        <v>29</v>
      </c>
      <c r="H2655">
        <v>4</v>
      </c>
      <c r="I2655">
        <v>12000</v>
      </c>
    </row>
    <row r="2656" spans="1:9" x14ac:dyDescent="0.3">
      <c r="A2656" s="1">
        <v>46049</v>
      </c>
      <c r="B2656">
        <v>2026</v>
      </c>
      <c r="C2656">
        <v>1</v>
      </c>
      <c r="D2656" t="s">
        <v>40</v>
      </c>
      <c r="E2656" t="s">
        <v>41</v>
      </c>
      <c r="F2656" t="s">
        <v>28</v>
      </c>
      <c r="G2656" t="s">
        <v>29</v>
      </c>
      <c r="H2656">
        <v>3</v>
      </c>
      <c r="I2656">
        <v>9000</v>
      </c>
    </row>
    <row r="2657" spans="1:9" x14ac:dyDescent="0.3">
      <c r="A2657" s="1">
        <v>46236</v>
      </c>
      <c r="B2657">
        <v>2026</v>
      </c>
      <c r="C2657">
        <v>8</v>
      </c>
      <c r="D2657" t="s">
        <v>40</v>
      </c>
      <c r="E2657" t="s">
        <v>41</v>
      </c>
      <c r="F2657" t="s">
        <v>28</v>
      </c>
      <c r="G2657" t="s">
        <v>29</v>
      </c>
      <c r="H2657">
        <v>4</v>
      </c>
      <c r="I2657">
        <v>12000</v>
      </c>
    </row>
    <row r="2658" spans="1:9" x14ac:dyDescent="0.3">
      <c r="A2658" s="1">
        <v>46120</v>
      </c>
      <c r="B2658">
        <v>2026</v>
      </c>
      <c r="C2658">
        <v>4</v>
      </c>
      <c r="D2658" t="s">
        <v>50</v>
      </c>
      <c r="E2658" t="s">
        <v>41</v>
      </c>
      <c r="F2658" t="s">
        <v>28</v>
      </c>
      <c r="G2658" t="s">
        <v>29</v>
      </c>
      <c r="H2658">
        <v>3</v>
      </c>
      <c r="I2658">
        <v>9000</v>
      </c>
    </row>
    <row r="2659" spans="1:9" x14ac:dyDescent="0.3">
      <c r="A2659" s="1">
        <v>46230</v>
      </c>
      <c r="B2659">
        <v>2026</v>
      </c>
      <c r="C2659">
        <v>7</v>
      </c>
      <c r="D2659" t="s">
        <v>51</v>
      </c>
      <c r="E2659" t="s">
        <v>45</v>
      </c>
      <c r="F2659" t="s">
        <v>28</v>
      </c>
      <c r="G2659" t="s">
        <v>29</v>
      </c>
      <c r="H2659">
        <v>3</v>
      </c>
      <c r="I2659">
        <v>9000</v>
      </c>
    </row>
    <row r="2660" spans="1:9" x14ac:dyDescent="0.3">
      <c r="A2660" s="1">
        <v>46226</v>
      </c>
      <c r="B2660">
        <v>2026</v>
      </c>
      <c r="C2660">
        <v>7</v>
      </c>
      <c r="D2660" t="s">
        <v>44</v>
      </c>
      <c r="E2660" t="s">
        <v>45</v>
      </c>
      <c r="F2660" t="s">
        <v>28</v>
      </c>
      <c r="G2660" t="s">
        <v>29</v>
      </c>
      <c r="H2660">
        <v>5</v>
      </c>
      <c r="I2660">
        <v>15000</v>
      </c>
    </row>
    <row r="2661" spans="1:9" x14ac:dyDescent="0.3">
      <c r="A2661" s="1">
        <v>46304</v>
      </c>
      <c r="B2661">
        <v>2026</v>
      </c>
      <c r="C2661">
        <v>10</v>
      </c>
      <c r="D2661" t="s">
        <v>40</v>
      </c>
      <c r="E2661" t="s">
        <v>41</v>
      </c>
      <c r="F2661" t="s">
        <v>28</v>
      </c>
      <c r="G2661" t="s">
        <v>29</v>
      </c>
      <c r="H2661">
        <v>5</v>
      </c>
      <c r="I2661">
        <v>15000</v>
      </c>
    </row>
    <row r="2662" spans="1:9" x14ac:dyDescent="0.3">
      <c r="A2662" s="1">
        <v>46061</v>
      </c>
      <c r="B2662">
        <v>2026</v>
      </c>
      <c r="C2662">
        <v>2</v>
      </c>
      <c r="D2662" t="s">
        <v>50</v>
      </c>
      <c r="E2662" t="s">
        <v>41</v>
      </c>
      <c r="F2662" t="s">
        <v>28</v>
      </c>
      <c r="G2662" t="s">
        <v>29</v>
      </c>
      <c r="H2662">
        <v>4</v>
      </c>
      <c r="I2662">
        <v>12000</v>
      </c>
    </row>
    <row r="2663" spans="1:9" x14ac:dyDescent="0.3">
      <c r="A2663" s="1">
        <v>46054</v>
      </c>
      <c r="B2663">
        <v>2026</v>
      </c>
      <c r="C2663">
        <v>2</v>
      </c>
      <c r="D2663" t="s">
        <v>40</v>
      </c>
      <c r="E2663" t="s">
        <v>41</v>
      </c>
      <c r="F2663" t="s">
        <v>28</v>
      </c>
      <c r="G2663" t="s">
        <v>29</v>
      </c>
      <c r="H2663">
        <v>2</v>
      </c>
      <c r="I2663">
        <v>6000</v>
      </c>
    </row>
    <row r="2664" spans="1:9" x14ac:dyDescent="0.3">
      <c r="A2664" s="1">
        <v>46161</v>
      </c>
      <c r="B2664">
        <v>2026</v>
      </c>
      <c r="C2664">
        <v>5</v>
      </c>
      <c r="D2664" t="s">
        <v>44</v>
      </c>
      <c r="E2664" t="s">
        <v>45</v>
      </c>
      <c r="F2664" t="s">
        <v>28</v>
      </c>
      <c r="G2664" t="s">
        <v>29</v>
      </c>
      <c r="H2664">
        <v>1</v>
      </c>
      <c r="I2664">
        <v>3000</v>
      </c>
    </row>
    <row r="2665" spans="1:9" x14ac:dyDescent="0.3">
      <c r="A2665" s="1">
        <v>46121</v>
      </c>
      <c r="B2665">
        <v>2026</v>
      </c>
      <c r="C2665">
        <v>4</v>
      </c>
      <c r="D2665" t="s">
        <v>49</v>
      </c>
      <c r="E2665" t="s">
        <v>47</v>
      </c>
      <c r="F2665" t="s">
        <v>28</v>
      </c>
      <c r="G2665" t="s">
        <v>29</v>
      </c>
      <c r="H2665">
        <v>1</v>
      </c>
      <c r="I2665">
        <v>3000</v>
      </c>
    </row>
    <row r="2666" spans="1:9" x14ac:dyDescent="0.3">
      <c r="A2666" s="1">
        <v>46088</v>
      </c>
      <c r="B2666">
        <v>2026</v>
      </c>
      <c r="C2666">
        <v>3</v>
      </c>
      <c r="D2666" t="s">
        <v>50</v>
      </c>
      <c r="E2666" t="s">
        <v>41</v>
      </c>
      <c r="F2666" t="s">
        <v>28</v>
      </c>
      <c r="G2666" t="s">
        <v>29</v>
      </c>
      <c r="H2666">
        <v>5</v>
      </c>
      <c r="I2666">
        <v>15000</v>
      </c>
    </row>
    <row r="2667" spans="1:9" x14ac:dyDescent="0.3">
      <c r="A2667" s="1">
        <v>46035</v>
      </c>
      <c r="B2667">
        <v>2026</v>
      </c>
      <c r="C2667">
        <v>1</v>
      </c>
      <c r="D2667" t="s">
        <v>40</v>
      </c>
      <c r="E2667" t="s">
        <v>41</v>
      </c>
      <c r="F2667" t="s">
        <v>28</v>
      </c>
      <c r="G2667" t="s">
        <v>29</v>
      </c>
      <c r="H2667">
        <v>4</v>
      </c>
      <c r="I2667">
        <v>12000</v>
      </c>
    </row>
    <row r="2668" spans="1:9" x14ac:dyDescent="0.3">
      <c r="A2668" s="1">
        <v>46157</v>
      </c>
      <c r="B2668">
        <v>2026</v>
      </c>
      <c r="C2668">
        <v>5</v>
      </c>
      <c r="D2668" t="s">
        <v>48</v>
      </c>
      <c r="E2668" t="s">
        <v>43</v>
      </c>
      <c r="F2668" t="s">
        <v>28</v>
      </c>
      <c r="G2668" t="s">
        <v>29</v>
      </c>
      <c r="H2668">
        <v>2</v>
      </c>
      <c r="I2668">
        <v>6000</v>
      </c>
    </row>
    <row r="2669" spans="1:9" x14ac:dyDescent="0.3">
      <c r="A2669" s="1">
        <v>46123</v>
      </c>
      <c r="B2669">
        <v>2026</v>
      </c>
      <c r="C2669">
        <v>4</v>
      </c>
      <c r="D2669" t="s">
        <v>40</v>
      </c>
      <c r="E2669" t="s">
        <v>41</v>
      </c>
      <c r="F2669" t="s">
        <v>28</v>
      </c>
      <c r="G2669" t="s">
        <v>29</v>
      </c>
      <c r="H2669">
        <v>2</v>
      </c>
      <c r="I2669">
        <v>6000</v>
      </c>
    </row>
    <row r="2670" spans="1:9" x14ac:dyDescent="0.3">
      <c r="A2670" s="1">
        <v>46169</v>
      </c>
      <c r="B2670">
        <v>2026</v>
      </c>
      <c r="C2670">
        <v>5</v>
      </c>
      <c r="D2670" t="s">
        <v>50</v>
      </c>
      <c r="E2670" t="s">
        <v>41</v>
      </c>
      <c r="F2670" t="s">
        <v>28</v>
      </c>
      <c r="G2670" t="s">
        <v>29</v>
      </c>
      <c r="H2670">
        <v>2</v>
      </c>
      <c r="I2670">
        <v>6000</v>
      </c>
    </row>
    <row r="2671" spans="1:9" x14ac:dyDescent="0.3">
      <c r="A2671" s="1">
        <v>46222</v>
      </c>
      <c r="B2671">
        <v>2026</v>
      </c>
      <c r="C2671">
        <v>7</v>
      </c>
      <c r="D2671" t="s">
        <v>51</v>
      </c>
      <c r="E2671" t="s">
        <v>45</v>
      </c>
      <c r="F2671" t="s">
        <v>28</v>
      </c>
      <c r="G2671" t="s">
        <v>29</v>
      </c>
      <c r="H2671">
        <v>5</v>
      </c>
      <c r="I2671">
        <v>15000</v>
      </c>
    </row>
    <row r="2672" spans="1:9" x14ac:dyDescent="0.3">
      <c r="A2672" s="1">
        <v>46305</v>
      </c>
      <c r="B2672">
        <v>2026</v>
      </c>
      <c r="C2672">
        <v>10</v>
      </c>
      <c r="D2672" t="s">
        <v>51</v>
      </c>
      <c r="E2672" t="s">
        <v>45</v>
      </c>
      <c r="F2672" t="s">
        <v>28</v>
      </c>
      <c r="G2672" t="s">
        <v>29</v>
      </c>
      <c r="H2672">
        <v>4</v>
      </c>
      <c r="I2672">
        <v>12000</v>
      </c>
    </row>
    <row r="2673" spans="1:9" x14ac:dyDescent="0.3">
      <c r="A2673" s="1">
        <v>46262</v>
      </c>
      <c r="B2673">
        <v>2026</v>
      </c>
      <c r="C2673">
        <v>8</v>
      </c>
      <c r="D2673" t="s">
        <v>50</v>
      </c>
      <c r="E2673" t="s">
        <v>41</v>
      </c>
      <c r="F2673" t="s">
        <v>28</v>
      </c>
      <c r="G2673" t="s">
        <v>29</v>
      </c>
      <c r="H2673">
        <v>3</v>
      </c>
      <c r="I2673">
        <v>9000</v>
      </c>
    </row>
    <row r="2674" spans="1:9" x14ac:dyDescent="0.3">
      <c r="A2674" s="1">
        <v>46260</v>
      </c>
      <c r="B2674">
        <v>2026</v>
      </c>
      <c r="C2674">
        <v>8</v>
      </c>
      <c r="D2674" t="s">
        <v>49</v>
      </c>
      <c r="E2674" t="s">
        <v>47</v>
      </c>
      <c r="F2674" t="s">
        <v>28</v>
      </c>
      <c r="G2674" t="s">
        <v>29</v>
      </c>
      <c r="H2674">
        <v>5</v>
      </c>
      <c r="I2674">
        <v>15000</v>
      </c>
    </row>
    <row r="2675" spans="1:9" x14ac:dyDescent="0.3">
      <c r="A2675" s="1">
        <v>46167</v>
      </c>
      <c r="B2675">
        <v>2026</v>
      </c>
      <c r="C2675">
        <v>5</v>
      </c>
      <c r="D2675" t="s">
        <v>51</v>
      </c>
      <c r="E2675" t="s">
        <v>45</v>
      </c>
      <c r="F2675" t="s">
        <v>28</v>
      </c>
      <c r="G2675" t="s">
        <v>29</v>
      </c>
      <c r="H2675">
        <v>4</v>
      </c>
      <c r="I2675">
        <v>12000</v>
      </c>
    </row>
    <row r="2676" spans="1:9" x14ac:dyDescent="0.3">
      <c r="A2676" s="1">
        <v>46183</v>
      </c>
      <c r="B2676">
        <v>2026</v>
      </c>
      <c r="C2676">
        <v>6</v>
      </c>
      <c r="D2676" t="s">
        <v>40</v>
      </c>
      <c r="E2676" t="s">
        <v>41</v>
      </c>
      <c r="F2676" t="s">
        <v>28</v>
      </c>
      <c r="G2676" t="s">
        <v>29</v>
      </c>
      <c r="H2676">
        <v>2</v>
      </c>
      <c r="I2676">
        <v>6000</v>
      </c>
    </row>
    <row r="2677" spans="1:9" x14ac:dyDescent="0.3">
      <c r="A2677" s="1">
        <v>46115</v>
      </c>
      <c r="B2677">
        <v>2026</v>
      </c>
      <c r="C2677">
        <v>4</v>
      </c>
      <c r="D2677" t="s">
        <v>51</v>
      </c>
      <c r="E2677" t="s">
        <v>45</v>
      </c>
      <c r="F2677" t="s">
        <v>28</v>
      </c>
      <c r="G2677" t="s">
        <v>29</v>
      </c>
      <c r="H2677">
        <v>3</v>
      </c>
      <c r="I2677">
        <v>9000</v>
      </c>
    </row>
    <row r="2678" spans="1:9" x14ac:dyDescent="0.3">
      <c r="A2678" s="1">
        <v>46037</v>
      </c>
      <c r="B2678">
        <v>2026</v>
      </c>
      <c r="C2678">
        <v>1</v>
      </c>
      <c r="D2678" t="s">
        <v>49</v>
      </c>
      <c r="E2678" t="s">
        <v>47</v>
      </c>
      <c r="F2678" t="s">
        <v>28</v>
      </c>
      <c r="G2678" t="s">
        <v>29</v>
      </c>
      <c r="H2678">
        <v>1</v>
      </c>
      <c r="I2678">
        <v>3000</v>
      </c>
    </row>
    <row r="2679" spans="1:9" x14ac:dyDescent="0.3">
      <c r="A2679" s="1">
        <v>46106</v>
      </c>
      <c r="B2679">
        <v>2026</v>
      </c>
      <c r="C2679">
        <v>3</v>
      </c>
      <c r="D2679" t="s">
        <v>51</v>
      </c>
      <c r="E2679" t="s">
        <v>45</v>
      </c>
      <c r="F2679" t="s">
        <v>28</v>
      </c>
      <c r="G2679" t="s">
        <v>29</v>
      </c>
      <c r="H2679">
        <v>5</v>
      </c>
      <c r="I2679">
        <v>15000</v>
      </c>
    </row>
    <row r="2680" spans="1:9" x14ac:dyDescent="0.3">
      <c r="A2680" s="1">
        <v>46225</v>
      </c>
      <c r="B2680">
        <v>2026</v>
      </c>
      <c r="C2680">
        <v>7</v>
      </c>
      <c r="D2680" t="s">
        <v>42</v>
      </c>
      <c r="E2680" t="s">
        <v>43</v>
      </c>
      <c r="F2680" t="s">
        <v>28</v>
      </c>
      <c r="G2680" t="s">
        <v>29</v>
      </c>
      <c r="H2680">
        <v>1</v>
      </c>
      <c r="I2680">
        <v>3000</v>
      </c>
    </row>
    <row r="2681" spans="1:9" x14ac:dyDescent="0.3">
      <c r="A2681" s="1">
        <v>46233</v>
      </c>
      <c r="B2681">
        <v>2026</v>
      </c>
      <c r="C2681">
        <v>7</v>
      </c>
      <c r="D2681" t="s">
        <v>42</v>
      </c>
      <c r="E2681" t="s">
        <v>43</v>
      </c>
      <c r="F2681" t="s">
        <v>28</v>
      </c>
      <c r="G2681" t="s">
        <v>29</v>
      </c>
      <c r="H2681">
        <v>2</v>
      </c>
      <c r="I2681">
        <v>6000</v>
      </c>
    </row>
    <row r="2682" spans="1:9" x14ac:dyDescent="0.3">
      <c r="A2682" s="1">
        <v>46266</v>
      </c>
      <c r="B2682">
        <v>2026</v>
      </c>
      <c r="C2682">
        <v>9</v>
      </c>
      <c r="D2682" t="s">
        <v>40</v>
      </c>
      <c r="E2682" t="s">
        <v>41</v>
      </c>
      <c r="F2682" t="s">
        <v>28</v>
      </c>
      <c r="G2682" t="s">
        <v>29</v>
      </c>
      <c r="H2682">
        <v>1</v>
      </c>
      <c r="I2682">
        <v>3000</v>
      </c>
    </row>
    <row r="2683" spans="1:9" x14ac:dyDescent="0.3">
      <c r="A2683" s="1">
        <v>46318</v>
      </c>
      <c r="B2683">
        <v>2026</v>
      </c>
      <c r="C2683">
        <v>10</v>
      </c>
      <c r="D2683" t="s">
        <v>51</v>
      </c>
      <c r="E2683" t="s">
        <v>45</v>
      </c>
      <c r="F2683" t="s">
        <v>28</v>
      </c>
      <c r="G2683" t="s">
        <v>29</v>
      </c>
      <c r="H2683">
        <v>4</v>
      </c>
      <c r="I2683">
        <v>12000</v>
      </c>
    </row>
    <row r="2684" spans="1:9" x14ac:dyDescent="0.3">
      <c r="A2684" s="1">
        <v>46135</v>
      </c>
      <c r="B2684">
        <v>2026</v>
      </c>
      <c r="C2684">
        <v>4</v>
      </c>
      <c r="D2684" t="s">
        <v>48</v>
      </c>
      <c r="E2684" t="s">
        <v>43</v>
      </c>
      <c r="F2684" t="s">
        <v>28</v>
      </c>
      <c r="G2684" t="s">
        <v>29</v>
      </c>
      <c r="H2684">
        <v>1</v>
      </c>
      <c r="I2684">
        <v>3000</v>
      </c>
    </row>
    <row r="2685" spans="1:9" x14ac:dyDescent="0.3">
      <c r="A2685" s="1">
        <v>46234</v>
      </c>
      <c r="B2685">
        <v>2026</v>
      </c>
      <c r="C2685">
        <v>7</v>
      </c>
      <c r="D2685" t="s">
        <v>46</v>
      </c>
      <c r="E2685" t="s">
        <v>47</v>
      </c>
      <c r="F2685" t="s">
        <v>28</v>
      </c>
      <c r="G2685" t="s">
        <v>29</v>
      </c>
      <c r="H2685">
        <v>2</v>
      </c>
      <c r="I2685">
        <v>6000</v>
      </c>
    </row>
    <row r="2686" spans="1:9" x14ac:dyDescent="0.3">
      <c r="A2686" s="1">
        <v>46143</v>
      </c>
      <c r="B2686">
        <v>2026</v>
      </c>
      <c r="C2686">
        <v>5</v>
      </c>
      <c r="D2686" t="s">
        <v>42</v>
      </c>
      <c r="E2686" t="s">
        <v>43</v>
      </c>
      <c r="F2686" t="s">
        <v>28</v>
      </c>
      <c r="G2686" t="s">
        <v>29</v>
      </c>
      <c r="H2686">
        <v>5</v>
      </c>
      <c r="I2686">
        <v>15000</v>
      </c>
    </row>
    <row r="2687" spans="1:9" x14ac:dyDescent="0.3">
      <c r="A2687" s="1">
        <v>46159</v>
      </c>
      <c r="B2687">
        <v>2026</v>
      </c>
      <c r="C2687">
        <v>5</v>
      </c>
      <c r="D2687" t="s">
        <v>49</v>
      </c>
      <c r="E2687" t="s">
        <v>47</v>
      </c>
      <c r="F2687" t="s">
        <v>28</v>
      </c>
      <c r="G2687" t="s">
        <v>29</v>
      </c>
      <c r="H2687">
        <v>1</v>
      </c>
      <c r="I2687">
        <v>3000</v>
      </c>
    </row>
    <row r="2688" spans="1:9" x14ac:dyDescent="0.3">
      <c r="A2688" s="1">
        <v>46033</v>
      </c>
      <c r="B2688">
        <v>2026</v>
      </c>
      <c r="C2688">
        <v>1</v>
      </c>
      <c r="D2688" t="s">
        <v>42</v>
      </c>
      <c r="E2688" t="s">
        <v>43</v>
      </c>
      <c r="F2688" t="s">
        <v>28</v>
      </c>
      <c r="G2688" t="s">
        <v>29</v>
      </c>
      <c r="H2688">
        <v>2</v>
      </c>
      <c r="I2688">
        <v>6000</v>
      </c>
    </row>
    <row r="2689" spans="1:9" x14ac:dyDescent="0.3">
      <c r="A2689" s="1">
        <v>46055</v>
      </c>
      <c r="B2689">
        <v>2026</v>
      </c>
      <c r="C2689">
        <v>2</v>
      </c>
      <c r="D2689" t="s">
        <v>51</v>
      </c>
      <c r="E2689" t="s">
        <v>45</v>
      </c>
      <c r="F2689" t="s">
        <v>28</v>
      </c>
      <c r="G2689" t="s">
        <v>29</v>
      </c>
      <c r="H2689">
        <v>4</v>
      </c>
      <c r="I2689">
        <v>12000</v>
      </c>
    </row>
    <row r="2690" spans="1:9" x14ac:dyDescent="0.3">
      <c r="A2690" s="1">
        <v>46175</v>
      </c>
      <c r="B2690">
        <v>2026</v>
      </c>
      <c r="C2690">
        <v>6</v>
      </c>
      <c r="D2690" t="s">
        <v>50</v>
      </c>
      <c r="E2690" t="s">
        <v>41</v>
      </c>
      <c r="F2690" t="s">
        <v>28</v>
      </c>
      <c r="G2690" t="s">
        <v>29</v>
      </c>
      <c r="H2690">
        <v>1</v>
      </c>
      <c r="I2690">
        <v>3000</v>
      </c>
    </row>
    <row r="2691" spans="1:9" x14ac:dyDescent="0.3">
      <c r="A2691" s="1">
        <v>46029</v>
      </c>
      <c r="B2691">
        <v>2026</v>
      </c>
      <c r="C2691">
        <v>1</v>
      </c>
      <c r="D2691" t="s">
        <v>42</v>
      </c>
      <c r="E2691" t="s">
        <v>43</v>
      </c>
      <c r="F2691" t="s">
        <v>28</v>
      </c>
      <c r="G2691" t="s">
        <v>29</v>
      </c>
      <c r="H2691">
        <v>5</v>
      </c>
      <c r="I2691">
        <v>15000</v>
      </c>
    </row>
    <row r="2692" spans="1:9" x14ac:dyDescent="0.3">
      <c r="A2692" s="1">
        <v>46211</v>
      </c>
      <c r="B2692">
        <v>2026</v>
      </c>
      <c r="C2692">
        <v>7</v>
      </c>
      <c r="D2692" t="s">
        <v>46</v>
      </c>
      <c r="E2692" t="s">
        <v>47</v>
      </c>
      <c r="F2692" t="s">
        <v>28</v>
      </c>
      <c r="G2692" t="s">
        <v>29</v>
      </c>
      <c r="H2692">
        <v>4</v>
      </c>
      <c r="I2692">
        <v>12000</v>
      </c>
    </row>
    <row r="2693" spans="1:9" x14ac:dyDescent="0.3">
      <c r="A2693" s="1">
        <v>46099</v>
      </c>
      <c r="B2693">
        <v>2026</v>
      </c>
      <c r="C2693">
        <v>3</v>
      </c>
      <c r="D2693" t="s">
        <v>42</v>
      </c>
      <c r="E2693" t="s">
        <v>43</v>
      </c>
      <c r="F2693" t="s">
        <v>28</v>
      </c>
      <c r="G2693" t="s">
        <v>29</v>
      </c>
      <c r="H2693">
        <v>5</v>
      </c>
      <c r="I2693">
        <v>15000</v>
      </c>
    </row>
    <row r="2694" spans="1:9" x14ac:dyDescent="0.3">
      <c r="A2694" s="1">
        <v>46236</v>
      </c>
      <c r="B2694">
        <v>2026</v>
      </c>
      <c r="C2694">
        <v>8</v>
      </c>
      <c r="D2694" t="s">
        <v>51</v>
      </c>
      <c r="E2694" t="s">
        <v>45</v>
      </c>
      <c r="F2694" t="s">
        <v>28</v>
      </c>
      <c r="G2694" t="s">
        <v>29</v>
      </c>
      <c r="H2694">
        <v>2</v>
      </c>
      <c r="I2694">
        <v>6000</v>
      </c>
    </row>
    <row r="2695" spans="1:9" x14ac:dyDescent="0.3">
      <c r="A2695" s="1">
        <v>46193</v>
      </c>
      <c r="B2695">
        <v>2026</v>
      </c>
      <c r="C2695">
        <v>6</v>
      </c>
      <c r="D2695" t="s">
        <v>44</v>
      </c>
      <c r="E2695" t="s">
        <v>45</v>
      </c>
      <c r="F2695" t="s">
        <v>28</v>
      </c>
      <c r="G2695" t="s">
        <v>29</v>
      </c>
      <c r="H2695">
        <v>2</v>
      </c>
      <c r="I2695">
        <v>6000</v>
      </c>
    </row>
    <row r="2696" spans="1:9" x14ac:dyDescent="0.3">
      <c r="A2696" s="1">
        <v>46261</v>
      </c>
      <c r="B2696">
        <v>2026</v>
      </c>
      <c r="C2696">
        <v>8</v>
      </c>
      <c r="D2696" t="s">
        <v>40</v>
      </c>
      <c r="E2696" t="s">
        <v>41</v>
      </c>
      <c r="F2696" t="s">
        <v>28</v>
      </c>
      <c r="G2696" t="s">
        <v>29</v>
      </c>
      <c r="H2696">
        <v>1</v>
      </c>
      <c r="I2696">
        <v>3000</v>
      </c>
    </row>
    <row r="2697" spans="1:9" x14ac:dyDescent="0.3">
      <c r="A2697" s="1">
        <v>46122</v>
      </c>
      <c r="B2697">
        <v>2026</v>
      </c>
      <c r="C2697">
        <v>4</v>
      </c>
      <c r="D2697" t="s">
        <v>40</v>
      </c>
      <c r="E2697" t="s">
        <v>41</v>
      </c>
      <c r="F2697" t="s">
        <v>28</v>
      </c>
      <c r="G2697" t="s">
        <v>29</v>
      </c>
      <c r="H2697">
        <v>4</v>
      </c>
      <c r="I2697">
        <v>12000</v>
      </c>
    </row>
    <row r="2698" spans="1:9" x14ac:dyDescent="0.3">
      <c r="A2698" s="1">
        <v>46055</v>
      </c>
      <c r="B2698">
        <v>2026</v>
      </c>
      <c r="C2698">
        <v>2</v>
      </c>
      <c r="D2698" t="s">
        <v>48</v>
      </c>
      <c r="E2698" t="s">
        <v>43</v>
      </c>
      <c r="F2698" t="s">
        <v>28</v>
      </c>
      <c r="G2698" t="s">
        <v>29</v>
      </c>
      <c r="H2698">
        <v>5</v>
      </c>
      <c r="I2698">
        <v>15000</v>
      </c>
    </row>
    <row r="2699" spans="1:9" x14ac:dyDescent="0.3">
      <c r="A2699" s="1">
        <v>46179</v>
      </c>
      <c r="B2699">
        <v>2026</v>
      </c>
      <c r="C2699">
        <v>6</v>
      </c>
      <c r="D2699" t="s">
        <v>49</v>
      </c>
      <c r="E2699" t="s">
        <v>47</v>
      </c>
      <c r="F2699" t="s">
        <v>28</v>
      </c>
      <c r="G2699" t="s">
        <v>29</v>
      </c>
      <c r="H2699">
        <v>5</v>
      </c>
      <c r="I2699">
        <v>15000</v>
      </c>
    </row>
    <row r="2700" spans="1:9" x14ac:dyDescent="0.3">
      <c r="A2700" s="1">
        <v>46325</v>
      </c>
      <c r="B2700">
        <v>2026</v>
      </c>
      <c r="C2700">
        <v>10</v>
      </c>
      <c r="D2700" t="s">
        <v>49</v>
      </c>
      <c r="E2700" t="s">
        <v>47</v>
      </c>
      <c r="F2700" t="s">
        <v>28</v>
      </c>
      <c r="G2700" t="s">
        <v>29</v>
      </c>
      <c r="H2700">
        <v>5</v>
      </c>
      <c r="I2700">
        <v>15000</v>
      </c>
    </row>
    <row r="2701" spans="1:9" x14ac:dyDescent="0.3">
      <c r="A2701" s="1">
        <v>46205</v>
      </c>
      <c r="B2701">
        <v>2026</v>
      </c>
      <c r="C2701">
        <v>7</v>
      </c>
      <c r="D2701" t="s">
        <v>46</v>
      </c>
      <c r="E2701" t="s">
        <v>47</v>
      </c>
      <c r="F2701" t="s">
        <v>28</v>
      </c>
      <c r="G2701" t="s">
        <v>29</v>
      </c>
      <c r="H2701">
        <v>1</v>
      </c>
      <c r="I2701">
        <v>3000</v>
      </c>
    </row>
    <row r="2702" spans="1:9" x14ac:dyDescent="0.3">
      <c r="A2702" s="1">
        <v>46107</v>
      </c>
      <c r="B2702">
        <v>2026</v>
      </c>
      <c r="C2702">
        <v>3</v>
      </c>
      <c r="D2702" t="s">
        <v>46</v>
      </c>
      <c r="E2702" t="s">
        <v>47</v>
      </c>
      <c r="F2702" t="s">
        <v>28</v>
      </c>
      <c r="G2702" t="s">
        <v>29</v>
      </c>
      <c r="H2702">
        <v>3</v>
      </c>
      <c r="I2702">
        <v>9000</v>
      </c>
    </row>
    <row r="2703" spans="1:9" x14ac:dyDescent="0.3">
      <c r="A2703" s="1">
        <v>46041</v>
      </c>
      <c r="B2703">
        <v>2026</v>
      </c>
      <c r="C2703">
        <v>1</v>
      </c>
      <c r="D2703" t="s">
        <v>42</v>
      </c>
      <c r="E2703" t="s">
        <v>43</v>
      </c>
      <c r="F2703" t="s">
        <v>28</v>
      </c>
      <c r="G2703" t="s">
        <v>29</v>
      </c>
      <c r="H2703">
        <v>1</v>
      </c>
      <c r="I2703">
        <v>3000</v>
      </c>
    </row>
    <row r="2704" spans="1:9" x14ac:dyDescent="0.3">
      <c r="A2704" s="1">
        <v>46139</v>
      </c>
      <c r="B2704">
        <v>2026</v>
      </c>
      <c r="C2704">
        <v>4</v>
      </c>
      <c r="D2704" t="s">
        <v>50</v>
      </c>
      <c r="E2704" t="s">
        <v>41</v>
      </c>
      <c r="F2704" t="s">
        <v>28</v>
      </c>
      <c r="G2704" t="s">
        <v>29</v>
      </c>
      <c r="H2704">
        <v>5</v>
      </c>
      <c r="I2704">
        <v>15000</v>
      </c>
    </row>
    <row r="2705" spans="1:9" x14ac:dyDescent="0.3">
      <c r="A2705" s="1">
        <v>46117</v>
      </c>
      <c r="B2705">
        <v>2026</v>
      </c>
      <c r="C2705">
        <v>4</v>
      </c>
      <c r="D2705" t="s">
        <v>48</v>
      </c>
      <c r="E2705" t="s">
        <v>43</v>
      </c>
      <c r="F2705" t="s">
        <v>28</v>
      </c>
      <c r="G2705" t="s">
        <v>29</v>
      </c>
      <c r="H2705">
        <v>5</v>
      </c>
      <c r="I2705">
        <v>15000</v>
      </c>
    </row>
    <row r="2706" spans="1:9" x14ac:dyDescent="0.3">
      <c r="A2706" s="1">
        <v>46102</v>
      </c>
      <c r="B2706">
        <v>2026</v>
      </c>
      <c r="C2706">
        <v>3</v>
      </c>
      <c r="D2706" t="s">
        <v>48</v>
      </c>
      <c r="E2706" t="s">
        <v>43</v>
      </c>
      <c r="F2706" t="s">
        <v>28</v>
      </c>
      <c r="G2706" t="s">
        <v>29</v>
      </c>
      <c r="H2706">
        <v>5</v>
      </c>
      <c r="I2706">
        <v>15000</v>
      </c>
    </row>
    <row r="2707" spans="1:9" x14ac:dyDescent="0.3">
      <c r="A2707" s="1">
        <v>46120</v>
      </c>
      <c r="B2707">
        <v>2026</v>
      </c>
      <c r="C2707">
        <v>4</v>
      </c>
      <c r="D2707" t="s">
        <v>49</v>
      </c>
      <c r="E2707" t="s">
        <v>47</v>
      </c>
      <c r="F2707" t="s">
        <v>28</v>
      </c>
      <c r="G2707" t="s">
        <v>29</v>
      </c>
      <c r="H2707">
        <v>4</v>
      </c>
      <c r="I2707">
        <v>12000</v>
      </c>
    </row>
    <row r="2708" spans="1:9" x14ac:dyDescent="0.3">
      <c r="A2708" s="1">
        <v>46276</v>
      </c>
      <c r="B2708">
        <v>2026</v>
      </c>
      <c r="C2708">
        <v>9</v>
      </c>
      <c r="D2708" t="s">
        <v>42</v>
      </c>
      <c r="E2708" t="s">
        <v>43</v>
      </c>
      <c r="F2708" t="s">
        <v>28</v>
      </c>
      <c r="G2708" t="s">
        <v>29</v>
      </c>
      <c r="H2708">
        <v>1</v>
      </c>
      <c r="I2708">
        <v>3000</v>
      </c>
    </row>
    <row r="2709" spans="1:9" x14ac:dyDescent="0.3">
      <c r="A2709" s="1">
        <v>46278</v>
      </c>
      <c r="B2709">
        <v>2026</v>
      </c>
      <c r="C2709">
        <v>9</v>
      </c>
      <c r="D2709" t="s">
        <v>44</v>
      </c>
      <c r="E2709" t="s">
        <v>45</v>
      </c>
      <c r="F2709" t="s">
        <v>28</v>
      </c>
      <c r="G2709" t="s">
        <v>29</v>
      </c>
      <c r="H2709">
        <v>1</v>
      </c>
      <c r="I2709">
        <v>3000</v>
      </c>
    </row>
    <row r="2710" spans="1:9" x14ac:dyDescent="0.3">
      <c r="A2710" s="1">
        <v>46149</v>
      </c>
      <c r="B2710">
        <v>2026</v>
      </c>
      <c r="C2710">
        <v>5</v>
      </c>
      <c r="D2710" t="s">
        <v>46</v>
      </c>
      <c r="E2710" t="s">
        <v>47</v>
      </c>
      <c r="F2710" t="s">
        <v>28</v>
      </c>
      <c r="G2710" t="s">
        <v>29</v>
      </c>
      <c r="H2710">
        <v>5</v>
      </c>
      <c r="I2710">
        <v>15000</v>
      </c>
    </row>
    <row r="2711" spans="1:9" x14ac:dyDescent="0.3">
      <c r="A2711" s="1">
        <v>46321</v>
      </c>
      <c r="B2711">
        <v>2026</v>
      </c>
      <c r="C2711">
        <v>10</v>
      </c>
      <c r="D2711" t="s">
        <v>40</v>
      </c>
      <c r="E2711" t="s">
        <v>41</v>
      </c>
      <c r="F2711" t="s">
        <v>28</v>
      </c>
      <c r="G2711" t="s">
        <v>29</v>
      </c>
      <c r="H2711">
        <v>2</v>
      </c>
      <c r="I2711">
        <v>6000</v>
      </c>
    </row>
    <row r="2712" spans="1:9" x14ac:dyDescent="0.3">
      <c r="A2712" s="1">
        <v>46105</v>
      </c>
      <c r="B2712">
        <v>2026</v>
      </c>
      <c r="C2712">
        <v>3</v>
      </c>
      <c r="D2712" t="s">
        <v>50</v>
      </c>
      <c r="E2712" t="s">
        <v>41</v>
      </c>
      <c r="F2712" t="s">
        <v>28</v>
      </c>
      <c r="G2712" t="s">
        <v>29</v>
      </c>
      <c r="H2712">
        <v>1</v>
      </c>
      <c r="I2712">
        <v>3000</v>
      </c>
    </row>
    <row r="2713" spans="1:9" x14ac:dyDescent="0.3">
      <c r="A2713" s="1">
        <v>46080</v>
      </c>
      <c r="B2713">
        <v>2026</v>
      </c>
      <c r="C2713">
        <v>2</v>
      </c>
      <c r="D2713" t="s">
        <v>51</v>
      </c>
      <c r="E2713" t="s">
        <v>45</v>
      </c>
      <c r="F2713" t="s">
        <v>28</v>
      </c>
      <c r="G2713" t="s">
        <v>29</v>
      </c>
      <c r="H2713">
        <v>2</v>
      </c>
      <c r="I2713">
        <v>6000</v>
      </c>
    </row>
    <row r="2714" spans="1:9" x14ac:dyDescent="0.3">
      <c r="A2714" s="1">
        <v>46042</v>
      </c>
      <c r="B2714">
        <v>2026</v>
      </c>
      <c r="C2714">
        <v>1</v>
      </c>
      <c r="D2714" t="s">
        <v>48</v>
      </c>
      <c r="E2714" t="s">
        <v>43</v>
      </c>
      <c r="F2714" t="s">
        <v>28</v>
      </c>
      <c r="G2714" t="s">
        <v>29</v>
      </c>
      <c r="H2714">
        <v>5</v>
      </c>
      <c r="I2714">
        <v>15000</v>
      </c>
    </row>
    <row r="2715" spans="1:9" x14ac:dyDescent="0.3">
      <c r="A2715" s="1">
        <v>46196</v>
      </c>
      <c r="B2715">
        <v>2026</v>
      </c>
      <c r="C2715">
        <v>6</v>
      </c>
      <c r="D2715" t="s">
        <v>50</v>
      </c>
      <c r="E2715" t="s">
        <v>41</v>
      </c>
      <c r="F2715" t="s">
        <v>28</v>
      </c>
      <c r="G2715" t="s">
        <v>29</v>
      </c>
      <c r="H2715">
        <v>5</v>
      </c>
      <c r="I2715">
        <v>15000</v>
      </c>
    </row>
    <row r="2716" spans="1:9" x14ac:dyDescent="0.3">
      <c r="A2716" s="1">
        <v>46275</v>
      </c>
      <c r="B2716">
        <v>2026</v>
      </c>
      <c r="C2716">
        <v>9</v>
      </c>
      <c r="D2716" t="s">
        <v>50</v>
      </c>
      <c r="E2716" t="s">
        <v>41</v>
      </c>
      <c r="F2716" t="s">
        <v>28</v>
      </c>
      <c r="G2716" t="s">
        <v>29</v>
      </c>
      <c r="H2716">
        <v>4</v>
      </c>
      <c r="I2716">
        <v>12000</v>
      </c>
    </row>
    <row r="2717" spans="1:9" x14ac:dyDescent="0.3">
      <c r="A2717" s="1">
        <v>46156</v>
      </c>
      <c r="B2717">
        <v>2026</v>
      </c>
      <c r="C2717">
        <v>5</v>
      </c>
      <c r="D2717" t="s">
        <v>51</v>
      </c>
      <c r="E2717" t="s">
        <v>45</v>
      </c>
      <c r="F2717" t="s">
        <v>28</v>
      </c>
      <c r="G2717" t="s">
        <v>29</v>
      </c>
      <c r="H2717">
        <v>3</v>
      </c>
      <c r="I2717">
        <v>9000</v>
      </c>
    </row>
    <row r="2718" spans="1:9" x14ac:dyDescent="0.3">
      <c r="A2718" s="1">
        <v>46111</v>
      </c>
      <c r="B2718">
        <v>2026</v>
      </c>
      <c r="C2718">
        <v>3</v>
      </c>
      <c r="D2718" t="s">
        <v>48</v>
      </c>
      <c r="E2718" t="s">
        <v>43</v>
      </c>
      <c r="F2718" t="s">
        <v>28</v>
      </c>
      <c r="G2718" t="s">
        <v>29</v>
      </c>
      <c r="H2718">
        <v>4</v>
      </c>
      <c r="I2718">
        <v>12000</v>
      </c>
    </row>
    <row r="2719" spans="1:9" x14ac:dyDescent="0.3">
      <c r="A2719" s="1">
        <v>46143</v>
      </c>
      <c r="B2719">
        <v>2026</v>
      </c>
      <c r="C2719">
        <v>5</v>
      </c>
      <c r="D2719" t="s">
        <v>49</v>
      </c>
      <c r="E2719" t="s">
        <v>47</v>
      </c>
      <c r="F2719" t="s">
        <v>28</v>
      </c>
      <c r="G2719" t="s">
        <v>29</v>
      </c>
      <c r="H2719">
        <v>4</v>
      </c>
      <c r="I2719">
        <v>12000</v>
      </c>
    </row>
    <row r="2720" spans="1:9" x14ac:dyDescent="0.3">
      <c r="A2720" s="1">
        <v>46099</v>
      </c>
      <c r="B2720">
        <v>2026</v>
      </c>
      <c r="C2720">
        <v>3</v>
      </c>
      <c r="D2720" t="s">
        <v>49</v>
      </c>
      <c r="E2720" t="s">
        <v>47</v>
      </c>
      <c r="F2720" t="s">
        <v>28</v>
      </c>
      <c r="G2720" t="s">
        <v>29</v>
      </c>
      <c r="H2720">
        <v>5</v>
      </c>
      <c r="I2720">
        <v>15000</v>
      </c>
    </row>
    <row r="2721" spans="1:9" x14ac:dyDescent="0.3">
      <c r="A2721" s="1">
        <v>46177</v>
      </c>
      <c r="B2721">
        <v>2026</v>
      </c>
      <c r="C2721">
        <v>6</v>
      </c>
      <c r="D2721" t="s">
        <v>49</v>
      </c>
      <c r="E2721" t="s">
        <v>47</v>
      </c>
      <c r="F2721" t="s">
        <v>28</v>
      </c>
      <c r="G2721" t="s">
        <v>29</v>
      </c>
      <c r="H2721">
        <v>2</v>
      </c>
      <c r="I2721">
        <v>6000</v>
      </c>
    </row>
    <row r="2722" spans="1:9" x14ac:dyDescent="0.3">
      <c r="A2722" s="1">
        <v>46271</v>
      </c>
      <c r="B2722">
        <v>2026</v>
      </c>
      <c r="C2722">
        <v>9</v>
      </c>
      <c r="D2722" t="s">
        <v>49</v>
      </c>
      <c r="E2722" t="s">
        <v>47</v>
      </c>
      <c r="F2722" t="s">
        <v>28</v>
      </c>
      <c r="G2722" t="s">
        <v>29</v>
      </c>
      <c r="H2722">
        <v>2</v>
      </c>
      <c r="I2722">
        <v>6000</v>
      </c>
    </row>
    <row r="2723" spans="1:9" x14ac:dyDescent="0.3">
      <c r="A2723" s="1">
        <v>46219</v>
      </c>
      <c r="B2723">
        <v>2026</v>
      </c>
      <c r="C2723">
        <v>7</v>
      </c>
      <c r="D2723" t="s">
        <v>44</v>
      </c>
      <c r="E2723" t="s">
        <v>45</v>
      </c>
      <c r="F2723" t="s">
        <v>28</v>
      </c>
      <c r="G2723" t="s">
        <v>29</v>
      </c>
      <c r="H2723">
        <v>2</v>
      </c>
      <c r="I2723">
        <v>6000</v>
      </c>
    </row>
    <row r="2724" spans="1:9" x14ac:dyDescent="0.3">
      <c r="A2724" s="1">
        <v>46045</v>
      </c>
      <c r="B2724">
        <v>2026</v>
      </c>
      <c r="C2724">
        <v>1</v>
      </c>
      <c r="D2724" t="s">
        <v>50</v>
      </c>
      <c r="E2724" t="s">
        <v>41</v>
      </c>
      <c r="F2724" t="s">
        <v>28</v>
      </c>
      <c r="G2724" t="s">
        <v>29</v>
      </c>
      <c r="H2724">
        <v>2</v>
      </c>
      <c r="I2724">
        <v>6000</v>
      </c>
    </row>
    <row r="2725" spans="1:9" x14ac:dyDescent="0.3">
      <c r="A2725" s="1">
        <v>46117</v>
      </c>
      <c r="B2725">
        <v>2026</v>
      </c>
      <c r="C2725">
        <v>4</v>
      </c>
      <c r="D2725" t="s">
        <v>40</v>
      </c>
      <c r="E2725" t="s">
        <v>41</v>
      </c>
      <c r="F2725" t="s">
        <v>28</v>
      </c>
      <c r="G2725" t="s">
        <v>29</v>
      </c>
      <c r="H2725">
        <v>4</v>
      </c>
      <c r="I2725">
        <v>12000</v>
      </c>
    </row>
    <row r="2726" spans="1:9" x14ac:dyDescent="0.3">
      <c r="A2726" s="1">
        <v>46245</v>
      </c>
      <c r="B2726">
        <v>2026</v>
      </c>
      <c r="C2726">
        <v>8</v>
      </c>
      <c r="D2726" t="s">
        <v>48</v>
      </c>
      <c r="E2726" t="s">
        <v>43</v>
      </c>
      <c r="F2726" t="s">
        <v>28</v>
      </c>
      <c r="G2726" t="s">
        <v>29</v>
      </c>
      <c r="H2726">
        <v>5</v>
      </c>
      <c r="I2726">
        <v>15000</v>
      </c>
    </row>
    <row r="2727" spans="1:9" x14ac:dyDescent="0.3">
      <c r="A2727" s="1">
        <v>46170</v>
      </c>
      <c r="B2727">
        <v>2026</v>
      </c>
      <c r="C2727">
        <v>5</v>
      </c>
      <c r="D2727" t="s">
        <v>48</v>
      </c>
      <c r="E2727" t="s">
        <v>43</v>
      </c>
      <c r="F2727" t="s">
        <v>28</v>
      </c>
      <c r="G2727" t="s">
        <v>29</v>
      </c>
      <c r="H2727">
        <v>1</v>
      </c>
      <c r="I2727">
        <v>3000</v>
      </c>
    </row>
    <row r="2728" spans="1:9" x14ac:dyDescent="0.3">
      <c r="A2728" s="1">
        <v>46307</v>
      </c>
      <c r="B2728">
        <v>2026</v>
      </c>
      <c r="C2728">
        <v>10</v>
      </c>
      <c r="D2728" t="s">
        <v>42</v>
      </c>
      <c r="E2728" t="s">
        <v>43</v>
      </c>
      <c r="F2728" t="s">
        <v>28</v>
      </c>
      <c r="G2728" t="s">
        <v>29</v>
      </c>
      <c r="H2728">
        <v>3</v>
      </c>
      <c r="I2728">
        <v>9000</v>
      </c>
    </row>
    <row r="2729" spans="1:9" x14ac:dyDescent="0.3">
      <c r="A2729" s="1">
        <v>46182</v>
      </c>
      <c r="B2729">
        <v>2026</v>
      </c>
      <c r="C2729">
        <v>6</v>
      </c>
      <c r="D2729" t="s">
        <v>49</v>
      </c>
      <c r="E2729" t="s">
        <v>47</v>
      </c>
      <c r="F2729" t="s">
        <v>28</v>
      </c>
      <c r="G2729" t="s">
        <v>29</v>
      </c>
      <c r="H2729">
        <v>1</v>
      </c>
      <c r="I2729">
        <v>3000</v>
      </c>
    </row>
    <row r="2730" spans="1:9" x14ac:dyDescent="0.3">
      <c r="A2730" s="1">
        <v>46223</v>
      </c>
      <c r="B2730">
        <v>2026</v>
      </c>
      <c r="C2730">
        <v>7</v>
      </c>
      <c r="D2730" t="s">
        <v>49</v>
      </c>
      <c r="E2730" t="s">
        <v>47</v>
      </c>
      <c r="F2730" t="s">
        <v>28</v>
      </c>
      <c r="G2730" t="s">
        <v>29</v>
      </c>
      <c r="H2730">
        <v>2</v>
      </c>
      <c r="I2730">
        <v>6000</v>
      </c>
    </row>
    <row r="2731" spans="1:9" x14ac:dyDescent="0.3">
      <c r="A2731" s="1">
        <v>46162</v>
      </c>
      <c r="B2731">
        <v>2026</v>
      </c>
      <c r="C2731">
        <v>5</v>
      </c>
      <c r="D2731" t="s">
        <v>42</v>
      </c>
      <c r="E2731" t="s">
        <v>43</v>
      </c>
      <c r="F2731" t="s">
        <v>28</v>
      </c>
      <c r="G2731" t="s">
        <v>29</v>
      </c>
      <c r="H2731">
        <v>4</v>
      </c>
      <c r="I2731">
        <v>12000</v>
      </c>
    </row>
    <row r="2732" spans="1:9" x14ac:dyDescent="0.3">
      <c r="A2732" s="1">
        <v>46275</v>
      </c>
      <c r="B2732">
        <v>2026</v>
      </c>
      <c r="C2732">
        <v>9</v>
      </c>
      <c r="D2732" t="s">
        <v>50</v>
      </c>
      <c r="E2732" t="s">
        <v>41</v>
      </c>
      <c r="F2732" t="s">
        <v>28</v>
      </c>
      <c r="G2732" t="s">
        <v>29</v>
      </c>
      <c r="H2732">
        <v>2</v>
      </c>
      <c r="I2732">
        <v>6000</v>
      </c>
    </row>
    <row r="2733" spans="1:9" x14ac:dyDescent="0.3">
      <c r="A2733" s="1">
        <v>46178</v>
      </c>
      <c r="B2733">
        <v>2026</v>
      </c>
      <c r="C2733">
        <v>6</v>
      </c>
      <c r="D2733" t="s">
        <v>42</v>
      </c>
      <c r="E2733" t="s">
        <v>43</v>
      </c>
      <c r="F2733" t="s">
        <v>28</v>
      </c>
      <c r="G2733" t="s">
        <v>29</v>
      </c>
      <c r="H2733">
        <v>4</v>
      </c>
      <c r="I2733">
        <v>12000</v>
      </c>
    </row>
    <row r="2734" spans="1:9" x14ac:dyDescent="0.3">
      <c r="A2734" s="1">
        <v>46247</v>
      </c>
      <c r="B2734">
        <v>2026</v>
      </c>
      <c r="C2734">
        <v>8</v>
      </c>
      <c r="D2734" t="s">
        <v>42</v>
      </c>
      <c r="E2734" t="s">
        <v>43</v>
      </c>
      <c r="F2734" t="s">
        <v>28</v>
      </c>
      <c r="G2734" t="s">
        <v>29</v>
      </c>
      <c r="H2734">
        <v>4</v>
      </c>
      <c r="I2734">
        <v>12000</v>
      </c>
    </row>
    <row r="2735" spans="1:9" x14ac:dyDescent="0.3">
      <c r="A2735" s="1">
        <v>46150</v>
      </c>
      <c r="B2735">
        <v>2026</v>
      </c>
      <c r="C2735">
        <v>5</v>
      </c>
      <c r="D2735" t="s">
        <v>46</v>
      </c>
      <c r="E2735" t="s">
        <v>47</v>
      </c>
      <c r="F2735" t="s">
        <v>28</v>
      </c>
      <c r="G2735" t="s">
        <v>29</v>
      </c>
      <c r="H2735">
        <v>2</v>
      </c>
      <c r="I2735">
        <v>6000</v>
      </c>
    </row>
    <row r="2736" spans="1:9" x14ac:dyDescent="0.3">
      <c r="A2736" s="1">
        <v>46230</v>
      </c>
      <c r="B2736">
        <v>2026</v>
      </c>
      <c r="C2736">
        <v>7</v>
      </c>
      <c r="D2736" t="s">
        <v>51</v>
      </c>
      <c r="E2736" t="s">
        <v>45</v>
      </c>
      <c r="F2736" t="s">
        <v>28</v>
      </c>
      <c r="G2736" t="s">
        <v>29</v>
      </c>
      <c r="H2736">
        <v>4</v>
      </c>
      <c r="I2736">
        <v>12000</v>
      </c>
    </row>
    <row r="2737" spans="1:9" x14ac:dyDescent="0.3">
      <c r="A2737" s="1">
        <v>46170</v>
      </c>
      <c r="B2737">
        <v>2026</v>
      </c>
      <c r="C2737">
        <v>5</v>
      </c>
      <c r="D2737" t="s">
        <v>44</v>
      </c>
      <c r="E2737" t="s">
        <v>45</v>
      </c>
      <c r="F2737" t="s">
        <v>28</v>
      </c>
      <c r="G2737" t="s">
        <v>29</v>
      </c>
      <c r="H2737">
        <v>4</v>
      </c>
      <c r="I2737">
        <v>12000</v>
      </c>
    </row>
    <row r="2738" spans="1:9" x14ac:dyDescent="0.3">
      <c r="A2738" s="1">
        <v>46188</v>
      </c>
      <c r="B2738">
        <v>2026</v>
      </c>
      <c r="C2738">
        <v>6</v>
      </c>
      <c r="D2738" t="s">
        <v>46</v>
      </c>
      <c r="E2738" t="s">
        <v>47</v>
      </c>
      <c r="F2738" t="s">
        <v>32</v>
      </c>
      <c r="G2738" t="s">
        <v>29</v>
      </c>
      <c r="H2738">
        <v>2</v>
      </c>
      <c r="I2738">
        <v>4400</v>
      </c>
    </row>
    <row r="2739" spans="1:9" x14ac:dyDescent="0.3">
      <c r="A2739" s="1">
        <v>46208</v>
      </c>
      <c r="B2739">
        <v>2026</v>
      </c>
      <c r="C2739">
        <v>7</v>
      </c>
      <c r="D2739" t="s">
        <v>44</v>
      </c>
      <c r="E2739" t="s">
        <v>45</v>
      </c>
      <c r="F2739" t="s">
        <v>32</v>
      </c>
      <c r="G2739" t="s">
        <v>29</v>
      </c>
      <c r="H2739">
        <v>3</v>
      </c>
      <c r="I2739">
        <v>6600</v>
      </c>
    </row>
    <row r="2740" spans="1:9" x14ac:dyDescent="0.3">
      <c r="A2740" s="1">
        <v>46160</v>
      </c>
      <c r="B2740">
        <v>2026</v>
      </c>
      <c r="C2740">
        <v>5</v>
      </c>
      <c r="D2740" t="s">
        <v>44</v>
      </c>
      <c r="E2740" t="s">
        <v>45</v>
      </c>
      <c r="F2740" t="s">
        <v>32</v>
      </c>
      <c r="G2740" t="s">
        <v>29</v>
      </c>
      <c r="H2740">
        <v>4</v>
      </c>
      <c r="I2740">
        <v>8800</v>
      </c>
    </row>
    <row r="2741" spans="1:9" x14ac:dyDescent="0.3">
      <c r="A2741" s="1">
        <v>46304</v>
      </c>
      <c r="B2741">
        <v>2026</v>
      </c>
      <c r="C2741">
        <v>10</v>
      </c>
      <c r="D2741" t="s">
        <v>46</v>
      </c>
      <c r="E2741" t="s">
        <v>47</v>
      </c>
      <c r="F2741" t="s">
        <v>32</v>
      </c>
      <c r="G2741" t="s">
        <v>29</v>
      </c>
      <c r="H2741">
        <v>2</v>
      </c>
      <c r="I2741">
        <v>4400</v>
      </c>
    </row>
    <row r="2742" spans="1:9" x14ac:dyDescent="0.3">
      <c r="A2742" s="1">
        <v>46270</v>
      </c>
      <c r="B2742">
        <v>2026</v>
      </c>
      <c r="C2742">
        <v>9</v>
      </c>
      <c r="D2742" t="s">
        <v>49</v>
      </c>
      <c r="E2742" t="s">
        <v>47</v>
      </c>
      <c r="F2742" t="s">
        <v>32</v>
      </c>
      <c r="G2742" t="s">
        <v>29</v>
      </c>
      <c r="H2742">
        <v>1</v>
      </c>
      <c r="I2742">
        <v>2200</v>
      </c>
    </row>
    <row r="2743" spans="1:9" x14ac:dyDescent="0.3">
      <c r="A2743" s="1">
        <v>46175</v>
      </c>
      <c r="B2743">
        <v>2026</v>
      </c>
      <c r="C2743">
        <v>6</v>
      </c>
      <c r="D2743" t="s">
        <v>44</v>
      </c>
      <c r="E2743" t="s">
        <v>45</v>
      </c>
      <c r="F2743" t="s">
        <v>32</v>
      </c>
      <c r="G2743" t="s">
        <v>29</v>
      </c>
      <c r="H2743">
        <v>1</v>
      </c>
      <c r="I2743">
        <v>2200</v>
      </c>
    </row>
    <row r="2744" spans="1:9" x14ac:dyDescent="0.3">
      <c r="A2744" s="1">
        <v>46264</v>
      </c>
      <c r="B2744">
        <v>2026</v>
      </c>
      <c r="C2744">
        <v>8</v>
      </c>
      <c r="D2744" t="s">
        <v>48</v>
      </c>
      <c r="E2744" t="s">
        <v>43</v>
      </c>
      <c r="F2744" t="s">
        <v>32</v>
      </c>
      <c r="G2744" t="s">
        <v>29</v>
      </c>
      <c r="H2744">
        <v>3</v>
      </c>
      <c r="I2744">
        <v>6600</v>
      </c>
    </row>
    <row r="2745" spans="1:9" x14ac:dyDescent="0.3">
      <c r="A2745" s="1">
        <v>46208</v>
      </c>
      <c r="B2745">
        <v>2026</v>
      </c>
      <c r="C2745">
        <v>7</v>
      </c>
      <c r="D2745" t="s">
        <v>46</v>
      </c>
      <c r="E2745" t="s">
        <v>47</v>
      </c>
      <c r="F2745" t="s">
        <v>32</v>
      </c>
      <c r="G2745" t="s">
        <v>29</v>
      </c>
      <c r="H2745">
        <v>5</v>
      </c>
      <c r="I2745">
        <v>11000</v>
      </c>
    </row>
    <row r="2746" spans="1:9" x14ac:dyDescent="0.3">
      <c r="A2746" s="1">
        <v>46084</v>
      </c>
      <c r="B2746">
        <v>2026</v>
      </c>
      <c r="C2746">
        <v>3</v>
      </c>
      <c r="D2746" t="s">
        <v>42</v>
      </c>
      <c r="E2746" t="s">
        <v>43</v>
      </c>
      <c r="F2746" t="s">
        <v>32</v>
      </c>
      <c r="G2746" t="s">
        <v>29</v>
      </c>
      <c r="H2746">
        <v>1</v>
      </c>
      <c r="I2746">
        <v>2200</v>
      </c>
    </row>
    <row r="2747" spans="1:9" x14ac:dyDescent="0.3">
      <c r="A2747" s="1">
        <v>46084</v>
      </c>
      <c r="B2747">
        <v>2026</v>
      </c>
      <c r="C2747">
        <v>3</v>
      </c>
      <c r="D2747" t="s">
        <v>48</v>
      </c>
      <c r="E2747" t="s">
        <v>43</v>
      </c>
      <c r="F2747" t="s">
        <v>32</v>
      </c>
      <c r="G2747" t="s">
        <v>29</v>
      </c>
      <c r="H2747">
        <v>4</v>
      </c>
      <c r="I2747">
        <v>8800</v>
      </c>
    </row>
    <row r="2748" spans="1:9" x14ac:dyDescent="0.3">
      <c r="A2748" s="1">
        <v>46311</v>
      </c>
      <c r="B2748">
        <v>2026</v>
      </c>
      <c r="C2748">
        <v>10</v>
      </c>
      <c r="D2748" t="s">
        <v>49</v>
      </c>
      <c r="E2748" t="s">
        <v>47</v>
      </c>
      <c r="F2748" t="s">
        <v>32</v>
      </c>
      <c r="G2748" t="s">
        <v>29</v>
      </c>
      <c r="H2748">
        <v>2</v>
      </c>
      <c r="I2748">
        <v>4400</v>
      </c>
    </row>
    <row r="2749" spans="1:9" x14ac:dyDescent="0.3">
      <c r="A2749" s="1">
        <v>46316</v>
      </c>
      <c r="B2749">
        <v>2026</v>
      </c>
      <c r="C2749">
        <v>10</v>
      </c>
      <c r="D2749" t="s">
        <v>42</v>
      </c>
      <c r="E2749" t="s">
        <v>43</v>
      </c>
      <c r="F2749" t="s">
        <v>32</v>
      </c>
      <c r="G2749" t="s">
        <v>29</v>
      </c>
      <c r="H2749">
        <v>3</v>
      </c>
      <c r="I2749">
        <v>6600</v>
      </c>
    </row>
    <row r="2750" spans="1:9" x14ac:dyDescent="0.3">
      <c r="A2750" s="1">
        <v>46091</v>
      </c>
      <c r="B2750">
        <v>2026</v>
      </c>
      <c r="C2750">
        <v>3</v>
      </c>
      <c r="D2750" t="s">
        <v>42</v>
      </c>
      <c r="E2750" t="s">
        <v>43</v>
      </c>
      <c r="F2750" t="s">
        <v>32</v>
      </c>
      <c r="G2750" t="s">
        <v>29</v>
      </c>
      <c r="H2750">
        <v>4</v>
      </c>
      <c r="I2750">
        <v>8800</v>
      </c>
    </row>
    <row r="2751" spans="1:9" x14ac:dyDescent="0.3">
      <c r="A2751" s="1">
        <v>46109</v>
      </c>
      <c r="B2751">
        <v>2026</v>
      </c>
      <c r="C2751">
        <v>3</v>
      </c>
      <c r="D2751" t="s">
        <v>40</v>
      </c>
      <c r="E2751" t="s">
        <v>41</v>
      </c>
      <c r="F2751" t="s">
        <v>32</v>
      </c>
      <c r="G2751" t="s">
        <v>29</v>
      </c>
      <c r="H2751">
        <v>5</v>
      </c>
      <c r="I2751">
        <v>11000</v>
      </c>
    </row>
    <row r="2752" spans="1:9" x14ac:dyDescent="0.3">
      <c r="A2752" s="1">
        <v>46188</v>
      </c>
      <c r="B2752">
        <v>2026</v>
      </c>
      <c r="C2752">
        <v>6</v>
      </c>
      <c r="D2752" t="s">
        <v>50</v>
      </c>
      <c r="E2752" t="s">
        <v>41</v>
      </c>
      <c r="F2752" t="s">
        <v>32</v>
      </c>
      <c r="G2752" t="s">
        <v>29</v>
      </c>
      <c r="H2752">
        <v>5</v>
      </c>
      <c r="I2752">
        <v>11000</v>
      </c>
    </row>
    <row r="2753" spans="1:9" x14ac:dyDescent="0.3">
      <c r="A2753" s="1">
        <v>46201</v>
      </c>
      <c r="B2753">
        <v>2026</v>
      </c>
      <c r="C2753">
        <v>6</v>
      </c>
      <c r="D2753" t="s">
        <v>48</v>
      </c>
      <c r="E2753" t="s">
        <v>43</v>
      </c>
      <c r="F2753" t="s">
        <v>32</v>
      </c>
      <c r="G2753" t="s">
        <v>29</v>
      </c>
      <c r="H2753">
        <v>2</v>
      </c>
      <c r="I2753">
        <v>4400</v>
      </c>
    </row>
    <row r="2754" spans="1:9" x14ac:dyDescent="0.3">
      <c r="A2754" s="1">
        <v>46079</v>
      </c>
      <c r="B2754">
        <v>2026</v>
      </c>
      <c r="C2754">
        <v>2</v>
      </c>
      <c r="D2754" t="s">
        <v>40</v>
      </c>
      <c r="E2754" t="s">
        <v>41</v>
      </c>
      <c r="F2754" t="s">
        <v>32</v>
      </c>
      <c r="G2754" t="s">
        <v>29</v>
      </c>
      <c r="H2754">
        <v>4</v>
      </c>
      <c r="I2754">
        <v>8800</v>
      </c>
    </row>
    <row r="2755" spans="1:9" x14ac:dyDescent="0.3">
      <c r="A2755" s="1">
        <v>46170</v>
      </c>
      <c r="B2755">
        <v>2026</v>
      </c>
      <c r="C2755">
        <v>5</v>
      </c>
      <c r="D2755" t="s">
        <v>46</v>
      </c>
      <c r="E2755" t="s">
        <v>47</v>
      </c>
      <c r="F2755" t="s">
        <v>32</v>
      </c>
      <c r="G2755" t="s">
        <v>29</v>
      </c>
      <c r="H2755">
        <v>2</v>
      </c>
      <c r="I2755">
        <v>4400</v>
      </c>
    </row>
    <row r="2756" spans="1:9" x14ac:dyDescent="0.3">
      <c r="A2756" s="1">
        <v>46064</v>
      </c>
      <c r="B2756">
        <v>2026</v>
      </c>
      <c r="C2756">
        <v>2</v>
      </c>
      <c r="D2756" t="s">
        <v>40</v>
      </c>
      <c r="E2756" t="s">
        <v>41</v>
      </c>
      <c r="F2756" t="s">
        <v>32</v>
      </c>
      <c r="G2756" t="s">
        <v>29</v>
      </c>
      <c r="H2756">
        <v>4</v>
      </c>
      <c r="I2756">
        <v>8800</v>
      </c>
    </row>
    <row r="2757" spans="1:9" x14ac:dyDescent="0.3">
      <c r="A2757" s="1">
        <v>46150</v>
      </c>
      <c r="B2757">
        <v>2026</v>
      </c>
      <c r="C2757">
        <v>5</v>
      </c>
      <c r="D2757" t="s">
        <v>48</v>
      </c>
      <c r="E2757" t="s">
        <v>43</v>
      </c>
      <c r="F2757" t="s">
        <v>32</v>
      </c>
      <c r="G2757" t="s">
        <v>29</v>
      </c>
      <c r="H2757">
        <v>1</v>
      </c>
      <c r="I2757">
        <v>2200</v>
      </c>
    </row>
    <row r="2758" spans="1:9" x14ac:dyDescent="0.3">
      <c r="A2758" s="1">
        <v>46231</v>
      </c>
      <c r="B2758">
        <v>2026</v>
      </c>
      <c r="C2758">
        <v>7</v>
      </c>
      <c r="D2758" t="s">
        <v>49</v>
      </c>
      <c r="E2758" t="s">
        <v>47</v>
      </c>
      <c r="F2758" t="s">
        <v>32</v>
      </c>
      <c r="G2758" t="s">
        <v>29</v>
      </c>
      <c r="H2758">
        <v>3</v>
      </c>
      <c r="I2758">
        <v>6600</v>
      </c>
    </row>
    <row r="2759" spans="1:9" x14ac:dyDescent="0.3">
      <c r="A2759" s="1">
        <v>46311</v>
      </c>
      <c r="B2759">
        <v>2026</v>
      </c>
      <c r="C2759">
        <v>10</v>
      </c>
      <c r="D2759" t="s">
        <v>40</v>
      </c>
      <c r="E2759" t="s">
        <v>41</v>
      </c>
      <c r="F2759" t="s">
        <v>32</v>
      </c>
      <c r="G2759" t="s">
        <v>29</v>
      </c>
      <c r="H2759">
        <v>5</v>
      </c>
      <c r="I2759">
        <v>11000</v>
      </c>
    </row>
    <row r="2760" spans="1:9" x14ac:dyDescent="0.3">
      <c r="A2760" s="1">
        <v>46083</v>
      </c>
      <c r="B2760">
        <v>2026</v>
      </c>
      <c r="C2760">
        <v>3</v>
      </c>
      <c r="D2760" t="s">
        <v>50</v>
      </c>
      <c r="E2760" t="s">
        <v>41</v>
      </c>
      <c r="F2760" t="s">
        <v>32</v>
      </c>
      <c r="G2760" t="s">
        <v>29</v>
      </c>
      <c r="H2760">
        <v>4</v>
      </c>
      <c r="I2760">
        <v>8800</v>
      </c>
    </row>
    <row r="2761" spans="1:9" x14ac:dyDescent="0.3">
      <c r="A2761" s="1">
        <v>46229</v>
      </c>
      <c r="B2761">
        <v>2026</v>
      </c>
      <c r="C2761">
        <v>7</v>
      </c>
      <c r="D2761" t="s">
        <v>51</v>
      </c>
      <c r="E2761" t="s">
        <v>45</v>
      </c>
      <c r="F2761" t="s">
        <v>32</v>
      </c>
      <c r="G2761" t="s">
        <v>29</v>
      </c>
      <c r="H2761">
        <v>3</v>
      </c>
      <c r="I2761">
        <v>6600</v>
      </c>
    </row>
    <row r="2762" spans="1:9" x14ac:dyDescent="0.3">
      <c r="A2762" s="1">
        <v>46317</v>
      </c>
      <c r="B2762">
        <v>2026</v>
      </c>
      <c r="C2762">
        <v>10</v>
      </c>
      <c r="D2762" t="s">
        <v>49</v>
      </c>
      <c r="E2762" t="s">
        <v>47</v>
      </c>
      <c r="F2762" t="s">
        <v>32</v>
      </c>
      <c r="G2762" t="s">
        <v>29</v>
      </c>
      <c r="H2762">
        <v>4</v>
      </c>
      <c r="I2762">
        <v>8800</v>
      </c>
    </row>
    <row r="2763" spans="1:9" x14ac:dyDescent="0.3">
      <c r="A2763" s="1">
        <v>46256</v>
      </c>
      <c r="B2763">
        <v>2026</v>
      </c>
      <c r="C2763">
        <v>8</v>
      </c>
      <c r="D2763" t="s">
        <v>40</v>
      </c>
      <c r="E2763" t="s">
        <v>41</v>
      </c>
      <c r="F2763" t="s">
        <v>32</v>
      </c>
      <c r="G2763" t="s">
        <v>29</v>
      </c>
      <c r="H2763">
        <v>3</v>
      </c>
      <c r="I2763">
        <v>6600</v>
      </c>
    </row>
    <row r="2764" spans="1:9" x14ac:dyDescent="0.3">
      <c r="A2764" s="1">
        <v>46145</v>
      </c>
      <c r="B2764">
        <v>2026</v>
      </c>
      <c r="C2764">
        <v>5</v>
      </c>
      <c r="D2764" t="s">
        <v>44</v>
      </c>
      <c r="E2764" t="s">
        <v>45</v>
      </c>
      <c r="F2764" t="s">
        <v>32</v>
      </c>
      <c r="G2764" t="s">
        <v>29</v>
      </c>
      <c r="H2764">
        <v>1</v>
      </c>
      <c r="I2764">
        <v>2200</v>
      </c>
    </row>
    <row r="2765" spans="1:9" x14ac:dyDescent="0.3">
      <c r="A2765" s="1">
        <v>46261</v>
      </c>
      <c r="B2765">
        <v>2026</v>
      </c>
      <c r="C2765">
        <v>8</v>
      </c>
      <c r="D2765" t="s">
        <v>50</v>
      </c>
      <c r="E2765" t="s">
        <v>41</v>
      </c>
      <c r="F2765" t="s">
        <v>32</v>
      </c>
      <c r="G2765" t="s">
        <v>29</v>
      </c>
      <c r="H2765">
        <v>5</v>
      </c>
      <c r="I2765">
        <v>11000</v>
      </c>
    </row>
    <row r="2766" spans="1:9" x14ac:dyDescent="0.3">
      <c r="A2766" s="1">
        <v>46218</v>
      </c>
      <c r="B2766">
        <v>2026</v>
      </c>
      <c r="C2766">
        <v>7</v>
      </c>
      <c r="D2766" t="s">
        <v>50</v>
      </c>
      <c r="E2766" t="s">
        <v>41</v>
      </c>
      <c r="F2766" t="s">
        <v>32</v>
      </c>
      <c r="G2766" t="s">
        <v>29</v>
      </c>
      <c r="H2766">
        <v>1</v>
      </c>
      <c r="I2766">
        <v>2200</v>
      </c>
    </row>
    <row r="2767" spans="1:9" x14ac:dyDescent="0.3">
      <c r="A2767" s="1">
        <v>46270</v>
      </c>
      <c r="B2767">
        <v>2026</v>
      </c>
      <c r="C2767">
        <v>9</v>
      </c>
      <c r="D2767" t="s">
        <v>40</v>
      </c>
      <c r="E2767" t="s">
        <v>41</v>
      </c>
      <c r="F2767" t="s">
        <v>32</v>
      </c>
      <c r="G2767" t="s">
        <v>29</v>
      </c>
      <c r="H2767">
        <v>4</v>
      </c>
      <c r="I2767">
        <v>8800</v>
      </c>
    </row>
    <row r="2768" spans="1:9" x14ac:dyDescent="0.3">
      <c r="A2768" s="1">
        <v>46053</v>
      </c>
      <c r="B2768">
        <v>2026</v>
      </c>
      <c r="C2768">
        <v>1</v>
      </c>
      <c r="D2768" t="s">
        <v>42</v>
      </c>
      <c r="E2768" t="s">
        <v>43</v>
      </c>
      <c r="F2768" t="s">
        <v>32</v>
      </c>
      <c r="G2768" t="s">
        <v>29</v>
      </c>
      <c r="H2768">
        <v>2</v>
      </c>
      <c r="I2768">
        <v>4400</v>
      </c>
    </row>
    <row r="2769" spans="1:9" x14ac:dyDescent="0.3">
      <c r="A2769" s="1">
        <v>46255</v>
      </c>
      <c r="B2769">
        <v>2026</v>
      </c>
      <c r="C2769">
        <v>8</v>
      </c>
      <c r="D2769" t="s">
        <v>40</v>
      </c>
      <c r="E2769" t="s">
        <v>41</v>
      </c>
      <c r="F2769" t="s">
        <v>32</v>
      </c>
      <c r="G2769" t="s">
        <v>29</v>
      </c>
      <c r="H2769">
        <v>5</v>
      </c>
      <c r="I2769">
        <v>11000</v>
      </c>
    </row>
    <row r="2770" spans="1:9" x14ac:dyDescent="0.3">
      <c r="A2770" s="1">
        <v>46241</v>
      </c>
      <c r="B2770">
        <v>2026</v>
      </c>
      <c r="C2770">
        <v>8</v>
      </c>
      <c r="D2770" t="s">
        <v>51</v>
      </c>
      <c r="E2770" t="s">
        <v>45</v>
      </c>
      <c r="F2770" t="s">
        <v>32</v>
      </c>
      <c r="G2770" t="s">
        <v>29</v>
      </c>
      <c r="H2770">
        <v>5</v>
      </c>
      <c r="I2770">
        <v>11000</v>
      </c>
    </row>
    <row r="2771" spans="1:9" x14ac:dyDescent="0.3">
      <c r="A2771" s="1">
        <v>46304</v>
      </c>
      <c r="B2771">
        <v>2026</v>
      </c>
      <c r="C2771">
        <v>10</v>
      </c>
      <c r="D2771" t="s">
        <v>49</v>
      </c>
      <c r="E2771" t="s">
        <v>47</v>
      </c>
      <c r="F2771" t="s">
        <v>32</v>
      </c>
      <c r="G2771" t="s">
        <v>29</v>
      </c>
      <c r="H2771">
        <v>3</v>
      </c>
      <c r="I2771">
        <v>6600</v>
      </c>
    </row>
    <row r="2772" spans="1:9" x14ac:dyDescent="0.3">
      <c r="A2772" s="1">
        <v>46151</v>
      </c>
      <c r="B2772">
        <v>2026</v>
      </c>
      <c r="C2772">
        <v>5</v>
      </c>
      <c r="D2772" t="s">
        <v>48</v>
      </c>
      <c r="E2772" t="s">
        <v>43</v>
      </c>
      <c r="F2772" t="s">
        <v>32</v>
      </c>
      <c r="G2772" t="s">
        <v>29</v>
      </c>
      <c r="H2772">
        <v>3</v>
      </c>
      <c r="I2772">
        <v>6600</v>
      </c>
    </row>
    <row r="2773" spans="1:9" x14ac:dyDescent="0.3">
      <c r="A2773" s="1">
        <v>46177</v>
      </c>
      <c r="B2773">
        <v>2026</v>
      </c>
      <c r="C2773">
        <v>6</v>
      </c>
      <c r="D2773" t="s">
        <v>40</v>
      </c>
      <c r="E2773" t="s">
        <v>41</v>
      </c>
      <c r="F2773" t="s">
        <v>32</v>
      </c>
      <c r="G2773" t="s">
        <v>29</v>
      </c>
      <c r="H2773">
        <v>5</v>
      </c>
      <c r="I2773">
        <v>11000</v>
      </c>
    </row>
    <row r="2774" spans="1:9" x14ac:dyDescent="0.3">
      <c r="A2774" s="1">
        <v>46240</v>
      </c>
      <c r="B2774">
        <v>2026</v>
      </c>
      <c r="C2774">
        <v>8</v>
      </c>
      <c r="D2774" t="s">
        <v>42</v>
      </c>
      <c r="E2774" t="s">
        <v>43</v>
      </c>
      <c r="F2774" t="s">
        <v>32</v>
      </c>
      <c r="G2774" t="s">
        <v>29</v>
      </c>
      <c r="H2774">
        <v>1</v>
      </c>
      <c r="I2774">
        <v>2200</v>
      </c>
    </row>
    <row r="2775" spans="1:9" x14ac:dyDescent="0.3">
      <c r="A2775" s="1">
        <v>46224</v>
      </c>
      <c r="B2775">
        <v>2026</v>
      </c>
      <c r="C2775">
        <v>7</v>
      </c>
      <c r="D2775" t="s">
        <v>51</v>
      </c>
      <c r="E2775" t="s">
        <v>45</v>
      </c>
      <c r="F2775" t="s">
        <v>32</v>
      </c>
      <c r="G2775" t="s">
        <v>29</v>
      </c>
      <c r="H2775">
        <v>4</v>
      </c>
      <c r="I2775">
        <v>8800</v>
      </c>
    </row>
    <row r="2776" spans="1:9" x14ac:dyDescent="0.3">
      <c r="A2776" s="1">
        <v>46113</v>
      </c>
      <c r="B2776">
        <v>2026</v>
      </c>
      <c r="C2776">
        <v>4</v>
      </c>
      <c r="D2776" t="s">
        <v>50</v>
      </c>
      <c r="E2776" t="s">
        <v>41</v>
      </c>
      <c r="F2776" t="s">
        <v>32</v>
      </c>
      <c r="G2776" t="s">
        <v>29</v>
      </c>
      <c r="H2776">
        <v>2</v>
      </c>
      <c r="I2776">
        <v>4400</v>
      </c>
    </row>
    <row r="2777" spans="1:9" x14ac:dyDescent="0.3">
      <c r="A2777" s="1">
        <v>46074</v>
      </c>
      <c r="B2777">
        <v>2026</v>
      </c>
      <c r="C2777">
        <v>2</v>
      </c>
      <c r="D2777" t="s">
        <v>44</v>
      </c>
      <c r="E2777" t="s">
        <v>45</v>
      </c>
      <c r="F2777" t="s">
        <v>32</v>
      </c>
      <c r="G2777" t="s">
        <v>29</v>
      </c>
      <c r="H2777">
        <v>1</v>
      </c>
      <c r="I2777">
        <v>2200</v>
      </c>
    </row>
    <row r="2778" spans="1:9" x14ac:dyDescent="0.3">
      <c r="A2778" s="1">
        <v>46042</v>
      </c>
      <c r="B2778">
        <v>2026</v>
      </c>
      <c r="C2778">
        <v>1</v>
      </c>
      <c r="D2778" t="s">
        <v>44</v>
      </c>
      <c r="E2778" t="s">
        <v>45</v>
      </c>
      <c r="F2778" t="s">
        <v>32</v>
      </c>
      <c r="G2778" t="s">
        <v>29</v>
      </c>
      <c r="H2778">
        <v>1</v>
      </c>
      <c r="I2778">
        <v>2200</v>
      </c>
    </row>
    <row r="2779" spans="1:9" x14ac:dyDescent="0.3">
      <c r="A2779" s="1">
        <v>46215</v>
      </c>
      <c r="B2779">
        <v>2026</v>
      </c>
      <c r="C2779">
        <v>7</v>
      </c>
      <c r="D2779" t="s">
        <v>46</v>
      </c>
      <c r="E2779" t="s">
        <v>47</v>
      </c>
      <c r="F2779" t="s">
        <v>32</v>
      </c>
      <c r="G2779" t="s">
        <v>29</v>
      </c>
      <c r="H2779">
        <v>2</v>
      </c>
      <c r="I2779">
        <v>4400</v>
      </c>
    </row>
    <row r="2780" spans="1:9" x14ac:dyDescent="0.3">
      <c r="A2780" s="1">
        <v>46239</v>
      </c>
      <c r="B2780">
        <v>2026</v>
      </c>
      <c r="C2780">
        <v>8</v>
      </c>
      <c r="D2780" t="s">
        <v>48</v>
      </c>
      <c r="E2780" t="s">
        <v>43</v>
      </c>
      <c r="F2780" t="s">
        <v>32</v>
      </c>
      <c r="G2780" t="s">
        <v>29</v>
      </c>
      <c r="H2780">
        <v>3</v>
      </c>
      <c r="I2780">
        <v>6600</v>
      </c>
    </row>
    <row r="2781" spans="1:9" x14ac:dyDescent="0.3">
      <c r="A2781" s="1">
        <v>46203</v>
      </c>
      <c r="B2781">
        <v>2026</v>
      </c>
      <c r="C2781">
        <v>6</v>
      </c>
      <c r="D2781" t="s">
        <v>49</v>
      </c>
      <c r="E2781" t="s">
        <v>47</v>
      </c>
      <c r="F2781" t="s">
        <v>32</v>
      </c>
      <c r="G2781" t="s">
        <v>29</v>
      </c>
      <c r="H2781">
        <v>4</v>
      </c>
      <c r="I2781">
        <v>8800</v>
      </c>
    </row>
    <row r="2782" spans="1:9" x14ac:dyDescent="0.3">
      <c r="A2782" s="1">
        <v>46081</v>
      </c>
      <c r="B2782">
        <v>2026</v>
      </c>
      <c r="C2782">
        <v>2</v>
      </c>
      <c r="D2782" t="s">
        <v>44</v>
      </c>
      <c r="E2782" t="s">
        <v>45</v>
      </c>
      <c r="F2782" t="s">
        <v>32</v>
      </c>
      <c r="G2782" t="s">
        <v>29</v>
      </c>
      <c r="H2782">
        <v>3</v>
      </c>
      <c r="I2782">
        <v>6600</v>
      </c>
    </row>
    <row r="2783" spans="1:9" x14ac:dyDescent="0.3">
      <c r="A2783" s="1">
        <v>46241</v>
      </c>
      <c r="B2783">
        <v>2026</v>
      </c>
      <c r="C2783">
        <v>8</v>
      </c>
      <c r="D2783" t="s">
        <v>46</v>
      </c>
      <c r="E2783" t="s">
        <v>47</v>
      </c>
      <c r="F2783" t="s">
        <v>32</v>
      </c>
      <c r="G2783" t="s">
        <v>29</v>
      </c>
      <c r="H2783">
        <v>1</v>
      </c>
      <c r="I2783">
        <v>2200</v>
      </c>
    </row>
    <row r="2784" spans="1:9" x14ac:dyDescent="0.3">
      <c r="A2784" s="1">
        <v>46324</v>
      </c>
      <c r="B2784">
        <v>2026</v>
      </c>
      <c r="C2784">
        <v>10</v>
      </c>
      <c r="D2784" t="s">
        <v>48</v>
      </c>
      <c r="E2784" t="s">
        <v>43</v>
      </c>
      <c r="F2784" t="s">
        <v>32</v>
      </c>
      <c r="G2784" t="s">
        <v>29</v>
      </c>
      <c r="H2784">
        <v>5</v>
      </c>
      <c r="I2784">
        <v>11000</v>
      </c>
    </row>
    <row r="2785" spans="1:9" x14ac:dyDescent="0.3">
      <c r="A2785" s="1">
        <v>46025</v>
      </c>
      <c r="B2785">
        <v>2026</v>
      </c>
      <c r="C2785">
        <v>1</v>
      </c>
      <c r="D2785" t="s">
        <v>40</v>
      </c>
      <c r="E2785" t="s">
        <v>41</v>
      </c>
      <c r="F2785" t="s">
        <v>32</v>
      </c>
      <c r="G2785" t="s">
        <v>29</v>
      </c>
      <c r="H2785">
        <v>1</v>
      </c>
      <c r="I2785">
        <v>2200</v>
      </c>
    </row>
    <row r="2786" spans="1:9" x14ac:dyDescent="0.3">
      <c r="A2786" s="1">
        <v>46109</v>
      </c>
      <c r="B2786">
        <v>2026</v>
      </c>
      <c r="C2786">
        <v>3</v>
      </c>
      <c r="D2786" t="s">
        <v>46</v>
      </c>
      <c r="E2786" t="s">
        <v>47</v>
      </c>
      <c r="F2786" t="s">
        <v>32</v>
      </c>
      <c r="G2786" t="s">
        <v>29</v>
      </c>
      <c r="H2786">
        <v>1</v>
      </c>
      <c r="I2786">
        <v>2200</v>
      </c>
    </row>
    <row r="2787" spans="1:9" x14ac:dyDescent="0.3">
      <c r="A2787" s="1">
        <v>46158</v>
      </c>
      <c r="B2787">
        <v>2026</v>
      </c>
      <c r="C2787">
        <v>5</v>
      </c>
      <c r="D2787" t="s">
        <v>50</v>
      </c>
      <c r="E2787" t="s">
        <v>41</v>
      </c>
      <c r="F2787" t="s">
        <v>32</v>
      </c>
      <c r="G2787" t="s">
        <v>29</v>
      </c>
      <c r="H2787">
        <v>5</v>
      </c>
      <c r="I2787">
        <v>11000</v>
      </c>
    </row>
    <row r="2788" spans="1:9" x14ac:dyDescent="0.3">
      <c r="A2788" s="1">
        <v>46029</v>
      </c>
      <c r="B2788">
        <v>2026</v>
      </c>
      <c r="C2788">
        <v>1</v>
      </c>
      <c r="D2788" t="s">
        <v>51</v>
      </c>
      <c r="E2788" t="s">
        <v>45</v>
      </c>
      <c r="F2788" t="s">
        <v>32</v>
      </c>
      <c r="G2788" t="s">
        <v>29</v>
      </c>
      <c r="H2788">
        <v>2</v>
      </c>
      <c r="I2788">
        <v>4400</v>
      </c>
    </row>
    <row r="2789" spans="1:9" x14ac:dyDescent="0.3">
      <c r="A2789" s="1">
        <v>46081</v>
      </c>
      <c r="B2789">
        <v>2026</v>
      </c>
      <c r="C2789">
        <v>2</v>
      </c>
      <c r="D2789" t="s">
        <v>40</v>
      </c>
      <c r="E2789" t="s">
        <v>41</v>
      </c>
      <c r="F2789" t="s">
        <v>32</v>
      </c>
      <c r="G2789" t="s">
        <v>29</v>
      </c>
      <c r="H2789">
        <v>3</v>
      </c>
      <c r="I2789">
        <v>6600</v>
      </c>
    </row>
    <row r="2790" spans="1:9" x14ac:dyDescent="0.3">
      <c r="A2790" s="1">
        <v>46298</v>
      </c>
      <c r="B2790">
        <v>2026</v>
      </c>
      <c r="C2790">
        <v>10</v>
      </c>
      <c r="D2790" t="s">
        <v>46</v>
      </c>
      <c r="E2790" t="s">
        <v>47</v>
      </c>
      <c r="F2790" t="s">
        <v>32</v>
      </c>
      <c r="G2790" t="s">
        <v>29</v>
      </c>
      <c r="H2790">
        <v>1</v>
      </c>
      <c r="I2790">
        <v>2200</v>
      </c>
    </row>
    <row r="2791" spans="1:9" x14ac:dyDescent="0.3">
      <c r="A2791" s="1">
        <v>46300</v>
      </c>
      <c r="B2791">
        <v>2026</v>
      </c>
      <c r="C2791">
        <v>10</v>
      </c>
      <c r="D2791" t="s">
        <v>44</v>
      </c>
      <c r="E2791" t="s">
        <v>45</v>
      </c>
      <c r="F2791" t="s">
        <v>32</v>
      </c>
      <c r="G2791" t="s">
        <v>29</v>
      </c>
      <c r="H2791">
        <v>2</v>
      </c>
      <c r="I2791">
        <v>4400</v>
      </c>
    </row>
    <row r="2792" spans="1:9" x14ac:dyDescent="0.3">
      <c r="A2792" s="1">
        <v>46278</v>
      </c>
      <c r="B2792">
        <v>2026</v>
      </c>
      <c r="C2792">
        <v>9</v>
      </c>
      <c r="D2792" t="s">
        <v>50</v>
      </c>
      <c r="E2792" t="s">
        <v>41</v>
      </c>
      <c r="F2792" t="s">
        <v>32</v>
      </c>
      <c r="G2792" t="s">
        <v>29</v>
      </c>
      <c r="H2792">
        <v>1</v>
      </c>
      <c r="I2792">
        <v>2200</v>
      </c>
    </row>
    <row r="2793" spans="1:9" x14ac:dyDescent="0.3">
      <c r="A2793" s="1">
        <v>46051</v>
      </c>
      <c r="B2793">
        <v>2026</v>
      </c>
      <c r="C2793">
        <v>1</v>
      </c>
      <c r="D2793" t="s">
        <v>49</v>
      </c>
      <c r="E2793" t="s">
        <v>47</v>
      </c>
      <c r="F2793" t="s">
        <v>32</v>
      </c>
      <c r="G2793" t="s">
        <v>29</v>
      </c>
      <c r="H2793">
        <v>3</v>
      </c>
      <c r="I2793">
        <v>6600</v>
      </c>
    </row>
    <row r="2794" spans="1:9" x14ac:dyDescent="0.3">
      <c r="A2794" s="1">
        <v>46081</v>
      </c>
      <c r="B2794">
        <v>2026</v>
      </c>
      <c r="C2794">
        <v>2</v>
      </c>
      <c r="D2794" t="s">
        <v>50</v>
      </c>
      <c r="E2794" t="s">
        <v>41</v>
      </c>
      <c r="F2794" t="s">
        <v>32</v>
      </c>
      <c r="G2794" t="s">
        <v>29</v>
      </c>
      <c r="H2794">
        <v>4</v>
      </c>
      <c r="I2794">
        <v>8800</v>
      </c>
    </row>
    <row r="2795" spans="1:9" x14ac:dyDescent="0.3">
      <c r="A2795" s="1">
        <v>46155</v>
      </c>
      <c r="B2795">
        <v>2026</v>
      </c>
      <c r="C2795">
        <v>5</v>
      </c>
      <c r="D2795" t="s">
        <v>50</v>
      </c>
      <c r="E2795" t="s">
        <v>41</v>
      </c>
      <c r="F2795" t="s">
        <v>32</v>
      </c>
      <c r="G2795" t="s">
        <v>29</v>
      </c>
      <c r="H2795">
        <v>5</v>
      </c>
      <c r="I2795">
        <v>11000</v>
      </c>
    </row>
    <row r="2796" spans="1:9" x14ac:dyDescent="0.3">
      <c r="A2796" s="1">
        <v>46146</v>
      </c>
      <c r="B2796">
        <v>2026</v>
      </c>
      <c r="C2796">
        <v>5</v>
      </c>
      <c r="D2796" t="s">
        <v>46</v>
      </c>
      <c r="E2796" t="s">
        <v>47</v>
      </c>
      <c r="F2796" t="s">
        <v>32</v>
      </c>
      <c r="G2796" t="s">
        <v>29</v>
      </c>
      <c r="H2796">
        <v>3</v>
      </c>
      <c r="I2796">
        <v>6600</v>
      </c>
    </row>
    <row r="2797" spans="1:9" x14ac:dyDescent="0.3">
      <c r="A2797" s="1">
        <v>46112</v>
      </c>
      <c r="B2797">
        <v>2026</v>
      </c>
      <c r="C2797">
        <v>3</v>
      </c>
      <c r="D2797" t="s">
        <v>51</v>
      </c>
      <c r="E2797" t="s">
        <v>45</v>
      </c>
      <c r="F2797" t="s">
        <v>32</v>
      </c>
      <c r="G2797" t="s">
        <v>29</v>
      </c>
      <c r="H2797">
        <v>5</v>
      </c>
      <c r="I2797">
        <v>11000</v>
      </c>
    </row>
    <row r="2798" spans="1:9" x14ac:dyDescent="0.3">
      <c r="A2798" s="1">
        <v>46059</v>
      </c>
      <c r="B2798">
        <v>2026</v>
      </c>
      <c r="C2798">
        <v>2</v>
      </c>
      <c r="D2798" t="s">
        <v>40</v>
      </c>
      <c r="E2798" t="s">
        <v>41</v>
      </c>
      <c r="F2798" t="s">
        <v>32</v>
      </c>
      <c r="G2798" t="s">
        <v>29</v>
      </c>
      <c r="H2798">
        <v>1</v>
      </c>
      <c r="I2798">
        <v>2200</v>
      </c>
    </row>
    <row r="2799" spans="1:9" x14ac:dyDescent="0.3">
      <c r="A2799" s="1">
        <v>46213</v>
      </c>
      <c r="B2799">
        <v>2026</v>
      </c>
      <c r="C2799">
        <v>7</v>
      </c>
      <c r="D2799" t="s">
        <v>50</v>
      </c>
      <c r="E2799" t="s">
        <v>41</v>
      </c>
      <c r="F2799" t="s">
        <v>32</v>
      </c>
      <c r="G2799" t="s">
        <v>29</v>
      </c>
      <c r="H2799">
        <v>2</v>
      </c>
      <c r="I2799">
        <v>4400</v>
      </c>
    </row>
    <row r="2800" spans="1:9" x14ac:dyDescent="0.3">
      <c r="A2800" s="1">
        <v>46300</v>
      </c>
      <c r="B2800">
        <v>2026</v>
      </c>
      <c r="C2800">
        <v>10</v>
      </c>
      <c r="D2800" t="s">
        <v>48</v>
      </c>
      <c r="E2800" t="s">
        <v>43</v>
      </c>
      <c r="F2800" t="s">
        <v>32</v>
      </c>
      <c r="G2800" t="s">
        <v>29</v>
      </c>
      <c r="H2800">
        <v>3</v>
      </c>
      <c r="I2800">
        <v>6600</v>
      </c>
    </row>
    <row r="2801" spans="1:9" x14ac:dyDescent="0.3">
      <c r="A2801" s="1">
        <v>46098</v>
      </c>
      <c r="B2801">
        <v>2026</v>
      </c>
      <c r="C2801">
        <v>3</v>
      </c>
      <c r="D2801" t="s">
        <v>49</v>
      </c>
      <c r="E2801" t="s">
        <v>47</v>
      </c>
      <c r="F2801" t="s">
        <v>32</v>
      </c>
      <c r="G2801" t="s">
        <v>29</v>
      </c>
      <c r="H2801">
        <v>3</v>
      </c>
      <c r="I2801">
        <v>6600</v>
      </c>
    </row>
    <row r="2802" spans="1:9" x14ac:dyDescent="0.3">
      <c r="A2802" s="1">
        <v>46314</v>
      </c>
      <c r="B2802">
        <v>2026</v>
      </c>
      <c r="C2802">
        <v>10</v>
      </c>
      <c r="D2802" t="s">
        <v>48</v>
      </c>
      <c r="E2802" t="s">
        <v>43</v>
      </c>
      <c r="F2802" t="s">
        <v>32</v>
      </c>
      <c r="G2802" t="s">
        <v>29</v>
      </c>
      <c r="H2802">
        <v>5</v>
      </c>
      <c r="I2802">
        <v>11000</v>
      </c>
    </row>
    <row r="2803" spans="1:9" x14ac:dyDescent="0.3">
      <c r="A2803" s="1">
        <v>46265</v>
      </c>
      <c r="B2803">
        <v>2026</v>
      </c>
      <c r="C2803">
        <v>8</v>
      </c>
      <c r="D2803" t="s">
        <v>44</v>
      </c>
      <c r="E2803" t="s">
        <v>45</v>
      </c>
      <c r="F2803" t="s">
        <v>32</v>
      </c>
      <c r="G2803" t="s">
        <v>29</v>
      </c>
      <c r="H2803">
        <v>5</v>
      </c>
      <c r="I2803">
        <v>11000</v>
      </c>
    </row>
    <row r="2804" spans="1:9" x14ac:dyDescent="0.3">
      <c r="A2804" s="1">
        <v>46224</v>
      </c>
      <c r="B2804">
        <v>2026</v>
      </c>
      <c r="C2804">
        <v>7</v>
      </c>
      <c r="D2804" t="s">
        <v>49</v>
      </c>
      <c r="E2804" t="s">
        <v>47</v>
      </c>
      <c r="F2804" t="s">
        <v>32</v>
      </c>
      <c r="G2804" t="s">
        <v>29</v>
      </c>
      <c r="H2804">
        <v>3</v>
      </c>
      <c r="I2804">
        <v>6600</v>
      </c>
    </row>
    <row r="2805" spans="1:9" x14ac:dyDescent="0.3">
      <c r="A2805" s="1">
        <v>46302</v>
      </c>
      <c r="B2805">
        <v>2026</v>
      </c>
      <c r="C2805">
        <v>10</v>
      </c>
      <c r="D2805" t="s">
        <v>48</v>
      </c>
      <c r="E2805" t="s">
        <v>43</v>
      </c>
      <c r="F2805" t="s">
        <v>32</v>
      </c>
      <c r="G2805" t="s">
        <v>29</v>
      </c>
      <c r="H2805">
        <v>4</v>
      </c>
      <c r="I2805">
        <v>8800</v>
      </c>
    </row>
    <row r="2806" spans="1:9" x14ac:dyDescent="0.3">
      <c r="A2806" s="1">
        <v>46025</v>
      </c>
      <c r="B2806">
        <v>2026</v>
      </c>
      <c r="C2806">
        <v>1</v>
      </c>
      <c r="D2806" t="s">
        <v>40</v>
      </c>
      <c r="E2806" t="s">
        <v>41</v>
      </c>
      <c r="F2806" t="s">
        <v>32</v>
      </c>
      <c r="G2806" t="s">
        <v>29</v>
      </c>
      <c r="H2806">
        <v>1</v>
      </c>
      <c r="I2806">
        <v>2200</v>
      </c>
    </row>
    <row r="2807" spans="1:9" x14ac:dyDescent="0.3">
      <c r="A2807" s="1">
        <v>46267</v>
      </c>
      <c r="B2807">
        <v>2026</v>
      </c>
      <c r="C2807">
        <v>9</v>
      </c>
      <c r="D2807" t="s">
        <v>49</v>
      </c>
      <c r="E2807" t="s">
        <v>47</v>
      </c>
      <c r="F2807" t="s">
        <v>32</v>
      </c>
      <c r="G2807" t="s">
        <v>29</v>
      </c>
      <c r="H2807">
        <v>5</v>
      </c>
      <c r="I2807">
        <v>11000</v>
      </c>
    </row>
    <row r="2808" spans="1:9" x14ac:dyDescent="0.3">
      <c r="A2808" s="1">
        <v>46215</v>
      </c>
      <c r="B2808">
        <v>2026</v>
      </c>
      <c r="C2808">
        <v>7</v>
      </c>
      <c r="D2808" t="s">
        <v>40</v>
      </c>
      <c r="E2808" t="s">
        <v>41</v>
      </c>
      <c r="F2808" t="s">
        <v>32</v>
      </c>
      <c r="G2808" t="s">
        <v>29</v>
      </c>
      <c r="H2808">
        <v>1</v>
      </c>
      <c r="I2808">
        <v>2200</v>
      </c>
    </row>
    <row r="2809" spans="1:9" x14ac:dyDescent="0.3">
      <c r="A2809" s="1">
        <v>46269</v>
      </c>
      <c r="B2809">
        <v>2026</v>
      </c>
      <c r="C2809">
        <v>9</v>
      </c>
      <c r="D2809" t="s">
        <v>44</v>
      </c>
      <c r="E2809" t="s">
        <v>45</v>
      </c>
      <c r="F2809" t="s">
        <v>32</v>
      </c>
      <c r="G2809" t="s">
        <v>29</v>
      </c>
      <c r="H2809">
        <v>2</v>
      </c>
      <c r="I2809">
        <v>4400</v>
      </c>
    </row>
    <row r="2810" spans="1:9" x14ac:dyDescent="0.3">
      <c r="A2810" s="1">
        <v>46185</v>
      </c>
      <c r="B2810">
        <v>2026</v>
      </c>
      <c r="C2810">
        <v>6</v>
      </c>
      <c r="D2810" t="s">
        <v>50</v>
      </c>
      <c r="E2810" t="s">
        <v>41</v>
      </c>
      <c r="F2810" t="s">
        <v>32</v>
      </c>
      <c r="G2810" t="s">
        <v>29</v>
      </c>
      <c r="H2810">
        <v>1</v>
      </c>
      <c r="I2810">
        <v>2200</v>
      </c>
    </row>
    <row r="2811" spans="1:9" x14ac:dyDescent="0.3">
      <c r="A2811" s="1">
        <v>46153</v>
      </c>
      <c r="B2811">
        <v>2026</v>
      </c>
      <c r="C2811">
        <v>5</v>
      </c>
      <c r="D2811" t="s">
        <v>49</v>
      </c>
      <c r="E2811" t="s">
        <v>47</v>
      </c>
      <c r="F2811" t="s">
        <v>32</v>
      </c>
      <c r="G2811" t="s">
        <v>29</v>
      </c>
      <c r="H2811">
        <v>1</v>
      </c>
      <c r="I2811">
        <v>2200</v>
      </c>
    </row>
    <row r="2812" spans="1:9" x14ac:dyDescent="0.3">
      <c r="A2812" s="1">
        <v>46128</v>
      </c>
      <c r="B2812">
        <v>2026</v>
      </c>
      <c r="C2812">
        <v>4</v>
      </c>
      <c r="D2812" t="s">
        <v>46</v>
      </c>
      <c r="E2812" t="s">
        <v>47</v>
      </c>
      <c r="F2812" t="s">
        <v>32</v>
      </c>
      <c r="G2812" t="s">
        <v>29</v>
      </c>
      <c r="H2812">
        <v>2</v>
      </c>
      <c r="I2812">
        <v>4400</v>
      </c>
    </row>
    <row r="2813" spans="1:9" x14ac:dyDescent="0.3">
      <c r="A2813" s="1">
        <v>46190</v>
      </c>
      <c r="B2813">
        <v>2026</v>
      </c>
      <c r="C2813">
        <v>6</v>
      </c>
      <c r="D2813" t="s">
        <v>40</v>
      </c>
      <c r="E2813" t="s">
        <v>41</v>
      </c>
      <c r="F2813" t="s">
        <v>32</v>
      </c>
      <c r="G2813" t="s">
        <v>29</v>
      </c>
      <c r="H2813">
        <v>2</v>
      </c>
      <c r="I2813">
        <v>4400</v>
      </c>
    </row>
    <row r="2814" spans="1:9" x14ac:dyDescent="0.3">
      <c r="A2814" s="1">
        <v>46180</v>
      </c>
      <c r="B2814">
        <v>2026</v>
      </c>
      <c r="C2814">
        <v>6</v>
      </c>
      <c r="D2814" t="s">
        <v>49</v>
      </c>
      <c r="E2814" t="s">
        <v>47</v>
      </c>
      <c r="F2814" t="s">
        <v>32</v>
      </c>
      <c r="G2814" t="s">
        <v>29</v>
      </c>
      <c r="H2814">
        <v>4</v>
      </c>
      <c r="I2814">
        <v>8800</v>
      </c>
    </row>
    <row r="2815" spans="1:9" x14ac:dyDescent="0.3">
      <c r="A2815" s="1">
        <v>46290</v>
      </c>
      <c r="B2815">
        <v>2026</v>
      </c>
      <c r="C2815">
        <v>9</v>
      </c>
      <c r="D2815" t="s">
        <v>46</v>
      </c>
      <c r="E2815" t="s">
        <v>47</v>
      </c>
      <c r="F2815" t="s">
        <v>32</v>
      </c>
      <c r="G2815" t="s">
        <v>29</v>
      </c>
      <c r="H2815">
        <v>5</v>
      </c>
      <c r="I2815">
        <v>11000</v>
      </c>
    </row>
    <row r="2816" spans="1:9" x14ac:dyDescent="0.3">
      <c r="A2816" s="1">
        <v>46228</v>
      </c>
      <c r="B2816">
        <v>2026</v>
      </c>
      <c r="C2816">
        <v>7</v>
      </c>
      <c r="D2816" t="s">
        <v>40</v>
      </c>
      <c r="E2816" t="s">
        <v>41</v>
      </c>
      <c r="F2816" t="s">
        <v>32</v>
      </c>
      <c r="G2816" t="s">
        <v>29</v>
      </c>
      <c r="H2816">
        <v>5</v>
      </c>
      <c r="I2816">
        <v>11000</v>
      </c>
    </row>
    <row r="2817" spans="1:9" x14ac:dyDescent="0.3">
      <c r="A2817" s="1">
        <v>46126</v>
      </c>
      <c r="B2817">
        <v>2026</v>
      </c>
      <c r="C2817">
        <v>4</v>
      </c>
      <c r="D2817" t="s">
        <v>50</v>
      </c>
      <c r="E2817" t="s">
        <v>41</v>
      </c>
      <c r="F2817" t="s">
        <v>32</v>
      </c>
      <c r="G2817" t="s">
        <v>29</v>
      </c>
      <c r="H2817">
        <v>3</v>
      </c>
      <c r="I2817">
        <v>6600</v>
      </c>
    </row>
    <row r="2818" spans="1:9" x14ac:dyDescent="0.3">
      <c r="A2818" s="1">
        <v>46112</v>
      </c>
      <c r="B2818">
        <v>2026</v>
      </c>
      <c r="C2818">
        <v>3</v>
      </c>
      <c r="D2818" t="s">
        <v>46</v>
      </c>
      <c r="E2818" t="s">
        <v>47</v>
      </c>
      <c r="F2818" t="s">
        <v>32</v>
      </c>
      <c r="G2818" t="s">
        <v>29</v>
      </c>
      <c r="H2818">
        <v>2</v>
      </c>
      <c r="I2818">
        <v>4400</v>
      </c>
    </row>
    <row r="2819" spans="1:9" x14ac:dyDescent="0.3">
      <c r="A2819" s="1">
        <v>46212</v>
      </c>
      <c r="B2819">
        <v>2026</v>
      </c>
      <c r="C2819">
        <v>7</v>
      </c>
      <c r="D2819" t="s">
        <v>48</v>
      </c>
      <c r="E2819" t="s">
        <v>43</v>
      </c>
      <c r="F2819" t="s">
        <v>32</v>
      </c>
      <c r="G2819" t="s">
        <v>29</v>
      </c>
      <c r="H2819">
        <v>4</v>
      </c>
      <c r="I2819">
        <v>8800</v>
      </c>
    </row>
    <row r="2820" spans="1:9" x14ac:dyDescent="0.3">
      <c r="A2820" s="1">
        <v>46123</v>
      </c>
      <c r="B2820">
        <v>2026</v>
      </c>
      <c r="C2820">
        <v>4</v>
      </c>
      <c r="D2820" t="s">
        <v>44</v>
      </c>
      <c r="E2820" t="s">
        <v>45</v>
      </c>
      <c r="F2820" t="s">
        <v>32</v>
      </c>
      <c r="G2820" t="s">
        <v>29</v>
      </c>
      <c r="H2820">
        <v>4</v>
      </c>
      <c r="I2820">
        <v>8800</v>
      </c>
    </row>
    <row r="2821" spans="1:9" x14ac:dyDescent="0.3">
      <c r="A2821" s="1">
        <v>46057</v>
      </c>
      <c r="B2821">
        <v>2026</v>
      </c>
      <c r="C2821">
        <v>2</v>
      </c>
      <c r="D2821" t="s">
        <v>44</v>
      </c>
      <c r="E2821" t="s">
        <v>45</v>
      </c>
      <c r="F2821" t="s">
        <v>32</v>
      </c>
      <c r="G2821" t="s">
        <v>29</v>
      </c>
      <c r="H2821">
        <v>4</v>
      </c>
      <c r="I2821">
        <v>8800</v>
      </c>
    </row>
    <row r="2822" spans="1:9" x14ac:dyDescent="0.3">
      <c r="A2822" s="1">
        <v>46228</v>
      </c>
      <c r="B2822">
        <v>2026</v>
      </c>
      <c r="C2822">
        <v>7</v>
      </c>
      <c r="D2822" t="s">
        <v>46</v>
      </c>
      <c r="E2822" t="s">
        <v>47</v>
      </c>
      <c r="F2822" t="s">
        <v>32</v>
      </c>
      <c r="G2822" t="s">
        <v>29</v>
      </c>
      <c r="H2822">
        <v>2</v>
      </c>
      <c r="I2822">
        <v>4400</v>
      </c>
    </row>
    <row r="2823" spans="1:9" x14ac:dyDescent="0.3">
      <c r="A2823" s="1">
        <v>46086</v>
      </c>
      <c r="B2823">
        <v>2026</v>
      </c>
      <c r="C2823">
        <v>3</v>
      </c>
      <c r="D2823" t="s">
        <v>49</v>
      </c>
      <c r="E2823" t="s">
        <v>47</v>
      </c>
      <c r="F2823" t="s">
        <v>32</v>
      </c>
      <c r="G2823" t="s">
        <v>29</v>
      </c>
      <c r="H2823">
        <v>3</v>
      </c>
      <c r="I2823">
        <v>6600</v>
      </c>
    </row>
    <row r="2824" spans="1:9" x14ac:dyDescent="0.3">
      <c r="A2824" s="1">
        <v>46268</v>
      </c>
      <c r="B2824">
        <v>2026</v>
      </c>
      <c r="C2824">
        <v>9</v>
      </c>
      <c r="D2824" t="s">
        <v>49</v>
      </c>
      <c r="E2824" t="s">
        <v>47</v>
      </c>
      <c r="F2824" t="s">
        <v>32</v>
      </c>
      <c r="G2824" t="s">
        <v>29</v>
      </c>
      <c r="H2824">
        <v>3</v>
      </c>
      <c r="I2824">
        <v>6600</v>
      </c>
    </row>
    <row r="2825" spans="1:9" x14ac:dyDescent="0.3">
      <c r="A2825" s="1">
        <v>46322</v>
      </c>
      <c r="B2825">
        <v>2026</v>
      </c>
      <c r="C2825">
        <v>10</v>
      </c>
      <c r="D2825" t="s">
        <v>51</v>
      </c>
      <c r="E2825" t="s">
        <v>45</v>
      </c>
      <c r="F2825" t="s">
        <v>32</v>
      </c>
      <c r="G2825" t="s">
        <v>29</v>
      </c>
      <c r="H2825">
        <v>4</v>
      </c>
      <c r="I2825">
        <v>8800</v>
      </c>
    </row>
    <row r="2826" spans="1:9" x14ac:dyDescent="0.3">
      <c r="A2826" s="1">
        <v>46120</v>
      </c>
      <c r="B2826">
        <v>2026</v>
      </c>
      <c r="C2826">
        <v>4</v>
      </c>
      <c r="D2826" t="s">
        <v>50</v>
      </c>
      <c r="E2826" t="s">
        <v>41</v>
      </c>
      <c r="F2826" t="s">
        <v>32</v>
      </c>
      <c r="G2826" t="s">
        <v>29</v>
      </c>
      <c r="H2826">
        <v>2</v>
      </c>
      <c r="I2826">
        <v>4400</v>
      </c>
    </row>
    <row r="2827" spans="1:9" x14ac:dyDescent="0.3">
      <c r="A2827" s="1">
        <v>46146</v>
      </c>
      <c r="B2827">
        <v>2026</v>
      </c>
      <c r="C2827">
        <v>5</v>
      </c>
      <c r="D2827" t="s">
        <v>44</v>
      </c>
      <c r="E2827" t="s">
        <v>45</v>
      </c>
      <c r="F2827" t="s">
        <v>32</v>
      </c>
      <c r="G2827" t="s">
        <v>29</v>
      </c>
      <c r="H2827">
        <v>2</v>
      </c>
      <c r="I2827">
        <v>4400</v>
      </c>
    </row>
    <row r="2828" spans="1:9" x14ac:dyDescent="0.3">
      <c r="A2828" s="1">
        <v>46283</v>
      </c>
      <c r="B2828">
        <v>2026</v>
      </c>
      <c r="C2828">
        <v>9</v>
      </c>
      <c r="D2828" t="s">
        <v>46</v>
      </c>
      <c r="E2828" t="s">
        <v>47</v>
      </c>
      <c r="F2828" t="s">
        <v>32</v>
      </c>
      <c r="G2828" t="s">
        <v>29</v>
      </c>
      <c r="H2828">
        <v>1</v>
      </c>
      <c r="I2828">
        <v>2200</v>
      </c>
    </row>
    <row r="2829" spans="1:9" x14ac:dyDescent="0.3">
      <c r="A2829" s="1">
        <v>46057</v>
      </c>
      <c r="B2829">
        <v>2026</v>
      </c>
      <c r="C2829">
        <v>2</v>
      </c>
      <c r="D2829" t="s">
        <v>50</v>
      </c>
      <c r="E2829" t="s">
        <v>41</v>
      </c>
      <c r="F2829" t="s">
        <v>32</v>
      </c>
      <c r="G2829" t="s">
        <v>29</v>
      </c>
      <c r="H2829">
        <v>5</v>
      </c>
      <c r="I2829">
        <v>11000</v>
      </c>
    </row>
    <row r="2830" spans="1:9" x14ac:dyDescent="0.3">
      <c r="A2830" s="1">
        <v>46067</v>
      </c>
      <c r="B2830">
        <v>2026</v>
      </c>
      <c r="C2830">
        <v>2</v>
      </c>
      <c r="D2830" t="s">
        <v>51</v>
      </c>
      <c r="E2830" t="s">
        <v>45</v>
      </c>
      <c r="F2830" t="s">
        <v>32</v>
      </c>
      <c r="G2830" t="s">
        <v>29</v>
      </c>
      <c r="H2830">
        <v>5</v>
      </c>
      <c r="I2830">
        <v>11000</v>
      </c>
    </row>
    <row r="2831" spans="1:9" x14ac:dyDescent="0.3">
      <c r="A2831" s="1">
        <v>46058</v>
      </c>
      <c r="B2831">
        <v>2026</v>
      </c>
      <c r="C2831">
        <v>2</v>
      </c>
      <c r="D2831" t="s">
        <v>46</v>
      </c>
      <c r="E2831" t="s">
        <v>47</v>
      </c>
      <c r="F2831" t="s">
        <v>32</v>
      </c>
      <c r="G2831" t="s">
        <v>29</v>
      </c>
      <c r="H2831">
        <v>4</v>
      </c>
      <c r="I2831">
        <v>8800</v>
      </c>
    </row>
    <row r="2832" spans="1:9" x14ac:dyDescent="0.3">
      <c r="A2832" s="1">
        <v>46182</v>
      </c>
      <c r="B2832">
        <v>2026</v>
      </c>
      <c r="C2832">
        <v>6</v>
      </c>
      <c r="D2832" t="s">
        <v>44</v>
      </c>
      <c r="E2832" t="s">
        <v>45</v>
      </c>
      <c r="F2832" t="s">
        <v>32</v>
      </c>
      <c r="G2832" t="s">
        <v>29</v>
      </c>
      <c r="H2832">
        <v>5</v>
      </c>
      <c r="I2832">
        <v>11000</v>
      </c>
    </row>
    <row r="2833" spans="1:9" x14ac:dyDescent="0.3">
      <c r="A2833" s="1">
        <v>46051</v>
      </c>
      <c r="B2833">
        <v>2026</v>
      </c>
      <c r="C2833">
        <v>1</v>
      </c>
      <c r="D2833" t="s">
        <v>50</v>
      </c>
      <c r="E2833" t="s">
        <v>41</v>
      </c>
      <c r="F2833" t="s">
        <v>32</v>
      </c>
      <c r="G2833" t="s">
        <v>29</v>
      </c>
      <c r="H2833">
        <v>1</v>
      </c>
      <c r="I2833">
        <v>2200</v>
      </c>
    </row>
    <row r="2834" spans="1:9" x14ac:dyDescent="0.3">
      <c r="A2834" s="1">
        <v>46125</v>
      </c>
      <c r="B2834">
        <v>2026</v>
      </c>
      <c r="C2834">
        <v>4</v>
      </c>
      <c r="D2834" t="s">
        <v>44</v>
      </c>
      <c r="E2834" t="s">
        <v>45</v>
      </c>
      <c r="F2834" t="s">
        <v>32</v>
      </c>
      <c r="G2834" t="s">
        <v>29</v>
      </c>
      <c r="H2834">
        <v>5</v>
      </c>
      <c r="I2834">
        <v>11000</v>
      </c>
    </row>
    <row r="2835" spans="1:9" x14ac:dyDescent="0.3">
      <c r="A2835" s="1">
        <v>46125</v>
      </c>
      <c r="B2835">
        <v>2026</v>
      </c>
      <c r="C2835">
        <v>4</v>
      </c>
      <c r="D2835" t="s">
        <v>44</v>
      </c>
      <c r="E2835" t="s">
        <v>45</v>
      </c>
      <c r="F2835" t="s">
        <v>32</v>
      </c>
      <c r="G2835" t="s">
        <v>29</v>
      </c>
      <c r="H2835">
        <v>2</v>
      </c>
      <c r="I2835">
        <v>4400</v>
      </c>
    </row>
    <row r="2836" spans="1:9" x14ac:dyDescent="0.3">
      <c r="A2836" s="1">
        <v>46121</v>
      </c>
      <c r="B2836">
        <v>2026</v>
      </c>
      <c r="C2836">
        <v>4</v>
      </c>
      <c r="D2836" t="s">
        <v>51</v>
      </c>
      <c r="E2836" t="s">
        <v>45</v>
      </c>
      <c r="F2836" t="s">
        <v>32</v>
      </c>
      <c r="G2836" t="s">
        <v>29</v>
      </c>
      <c r="H2836">
        <v>1</v>
      </c>
      <c r="I2836">
        <v>2200</v>
      </c>
    </row>
    <row r="2837" spans="1:9" x14ac:dyDescent="0.3">
      <c r="A2837" s="1">
        <v>46068</v>
      </c>
      <c r="B2837">
        <v>2026</v>
      </c>
      <c r="C2837">
        <v>2</v>
      </c>
      <c r="D2837" t="s">
        <v>50</v>
      </c>
      <c r="E2837" t="s">
        <v>41</v>
      </c>
      <c r="F2837" t="s">
        <v>32</v>
      </c>
      <c r="G2837" t="s">
        <v>29</v>
      </c>
      <c r="H2837">
        <v>3</v>
      </c>
      <c r="I2837">
        <v>6600</v>
      </c>
    </row>
    <row r="2838" spans="1:9" x14ac:dyDescent="0.3">
      <c r="A2838" s="1">
        <v>46077</v>
      </c>
      <c r="B2838">
        <v>2026</v>
      </c>
      <c r="C2838">
        <v>2</v>
      </c>
      <c r="D2838" t="s">
        <v>51</v>
      </c>
      <c r="E2838" t="s">
        <v>45</v>
      </c>
      <c r="F2838" t="s">
        <v>32</v>
      </c>
      <c r="G2838" t="s">
        <v>29</v>
      </c>
      <c r="H2838">
        <v>1</v>
      </c>
      <c r="I2838">
        <v>2200</v>
      </c>
    </row>
    <row r="2839" spans="1:9" x14ac:dyDescent="0.3">
      <c r="A2839" s="1">
        <v>46167</v>
      </c>
      <c r="B2839">
        <v>2026</v>
      </c>
      <c r="C2839">
        <v>5</v>
      </c>
      <c r="D2839" t="s">
        <v>49</v>
      </c>
      <c r="E2839" t="s">
        <v>47</v>
      </c>
      <c r="F2839" t="s">
        <v>32</v>
      </c>
      <c r="G2839" t="s">
        <v>29</v>
      </c>
      <c r="H2839">
        <v>4</v>
      </c>
      <c r="I2839">
        <v>8800</v>
      </c>
    </row>
    <row r="2840" spans="1:9" x14ac:dyDescent="0.3">
      <c r="A2840" s="1">
        <v>46133</v>
      </c>
      <c r="B2840">
        <v>2026</v>
      </c>
      <c r="C2840">
        <v>4</v>
      </c>
      <c r="D2840" t="s">
        <v>46</v>
      </c>
      <c r="E2840" t="s">
        <v>47</v>
      </c>
      <c r="F2840" t="s">
        <v>32</v>
      </c>
      <c r="G2840" t="s">
        <v>29</v>
      </c>
      <c r="H2840">
        <v>2</v>
      </c>
      <c r="I2840">
        <v>4400</v>
      </c>
    </row>
    <row r="2841" spans="1:9" x14ac:dyDescent="0.3">
      <c r="A2841" s="1">
        <v>46251</v>
      </c>
      <c r="B2841">
        <v>2026</v>
      </c>
      <c r="C2841">
        <v>8</v>
      </c>
      <c r="D2841" t="s">
        <v>40</v>
      </c>
      <c r="E2841" t="s">
        <v>41</v>
      </c>
      <c r="F2841" t="s">
        <v>32</v>
      </c>
      <c r="G2841" t="s">
        <v>29</v>
      </c>
      <c r="H2841">
        <v>4</v>
      </c>
      <c r="I2841">
        <v>8800</v>
      </c>
    </row>
    <row r="2842" spans="1:9" x14ac:dyDescent="0.3">
      <c r="A2842" s="1">
        <v>46216</v>
      </c>
      <c r="B2842">
        <v>2026</v>
      </c>
      <c r="C2842">
        <v>7</v>
      </c>
      <c r="D2842" t="s">
        <v>49</v>
      </c>
      <c r="E2842" t="s">
        <v>47</v>
      </c>
      <c r="F2842" t="s">
        <v>32</v>
      </c>
      <c r="G2842" t="s">
        <v>29</v>
      </c>
      <c r="H2842">
        <v>4</v>
      </c>
      <c r="I2842">
        <v>8800</v>
      </c>
    </row>
    <row r="2843" spans="1:9" x14ac:dyDescent="0.3">
      <c r="A2843" s="1">
        <v>46165</v>
      </c>
      <c r="B2843">
        <v>2026</v>
      </c>
      <c r="C2843">
        <v>5</v>
      </c>
      <c r="D2843" t="s">
        <v>51</v>
      </c>
      <c r="E2843" t="s">
        <v>45</v>
      </c>
      <c r="F2843" t="s">
        <v>32</v>
      </c>
      <c r="G2843" t="s">
        <v>29</v>
      </c>
      <c r="H2843">
        <v>2</v>
      </c>
      <c r="I2843">
        <v>4400</v>
      </c>
    </row>
    <row r="2844" spans="1:9" x14ac:dyDescent="0.3">
      <c r="A2844" s="1">
        <v>46233</v>
      </c>
      <c r="B2844">
        <v>2026</v>
      </c>
      <c r="C2844">
        <v>7</v>
      </c>
      <c r="D2844" t="s">
        <v>49</v>
      </c>
      <c r="E2844" t="s">
        <v>47</v>
      </c>
      <c r="F2844" t="s">
        <v>32</v>
      </c>
      <c r="G2844" t="s">
        <v>29</v>
      </c>
      <c r="H2844">
        <v>3</v>
      </c>
      <c r="I2844">
        <v>6600</v>
      </c>
    </row>
    <row r="2845" spans="1:9" x14ac:dyDescent="0.3">
      <c r="A2845" s="1">
        <v>46248</v>
      </c>
      <c r="B2845">
        <v>2026</v>
      </c>
      <c r="C2845">
        <v>8</v>
      </c>
      <c r="D2845" t="s">
        <v>42</v>
      </c>
      <c r="E2845" t="s">
        <v>43</v>
      </c>
      <c r="F2845" t="s">
        <v>32</v>
      </c>
      <c r="G2845" t="s">
        <v>29</v>
      </c>
      <c r="H2845">
        <v>4</v>
      </c>
      <c r="I2845">
        <v>8800</v>
      </c>
    </row>
    <row r="2846" spans="1:9" x14ac:dyDescent="0.3">
      <c r="A2846" s="1">
        <v>46302</v>
      </c>
      <c r="B2846">
        <v>2026</v>
      </c>
      <c r="C2846">
        <v>10</v>
      </c>
      <c r="D2846" t="s">
        <v>44</v>
      </c>
      <c r="E2846" t="s">
        <v>45</v>
      </c>
      <c r="F2846" t="s">
        <v>32</v>
      </c>
      <c r="G2846" t="s">
        <v>29</v>
      </c>
      <c r="H2846">
        <v>1</v>
      </c>
      <c r="I2846">
        <v>2200</v>
      </c>
    </row>
    <row r="2847" spans="1:9" x14ac:dyDescent="0.3">
      <c r="A2847" s="1">
        <v>46314</v>
      </c>
      <c r="B2847">
        <v>2026</v>
      </c>
      <c r="C2847">
        <v>10</v>
      </c>
      <c r="D2847" t="s">
        <v>49</v>
      </c>
      <c r="E2847" t="s">
        <v>47</v>
      </c>
      <c r="F2847" t="s">
        <v>32</v>
      </c>
      <c r="G2847" t="s">
        <v>29</v>
      </c>
      <c r="H2847">
        <v>5</v>
      </c>
      <c r="I2847">
        <v>11000</v>
      </c>
    </row>
    <row r="2848" spans="1:9" x14ac:dyDescent="0.3">
      <c r="A2848" s="1">
        <v>46251</v>
      </c>
      <c r="B2848">
        <v>2026</v>
      </c>
      <c r="C2848">
        <v>8</v>
      </c>
      <c r="D2848" t="s">
        <v>46</v>
      </c>
      <c r="E2848" t="s">
        <v>47</v>
      </c>
      <c r="F2848" t="s">
        <v>32</v>
      </c>
      <c r="G2848" t="s">
        <v>29</v>
      </c>
      <c r="H2848">
        <v>3</v>
      </c>
      <c r="I2848">
        <v>6600</v>
      </c>
    </row>
    <row r="2849" spans="1:9" x14ac:dyDescent="0.3">
      <c r="A2849" s="1">
        <v>46251</v>
      </c>
      <c r="B2849">
        <v>2026</v>
      </c>
      <c r="C2849">
        <v>8</v>
      </c>
      <c r="D2849" t="s">
        <v>44</v>
      </c>
      <c r="E2849" t="s">
        <v>45</v>
      </c>
      <c r="F2849" t="s">
        <v>32</v>
      </c>
      <c r="G2849" t="s">
        <v>29</v>
      </c>
      <c r="H2849">
        <v>5</v>
      </c>
      <c r="I2849">
        <v>11000</v>
      </c>
    </row>
    <row r="2850" spans="1:9" x14ac:dyDescent="0.3">
      <c r="A2850" s="1">
        <v>46199</v>
      </c>
      <c r="B2850">
        <v>2026</v>
      </c>
      <c r="C2850">
        <v>6</v>
      </c>
      <c r="D2850" t="s">
        <v>50</v>
      </c>
      <c r="E2850" t="s">
        <v>41</v>
      </c>
      <c r="F2850" t="s">
        <v>32</v>
      </c>
      <c r="G2850" t="s">
        <v>29</v>
      </c>
      <c r="H2850">
        <v>5</v>
      </c>
      <c r="I2850">
        <v>11000</v>
      </c>
    </row>
    <row r="2851" spans="1:9" x14ac:dyDescent="0.3">
      <c r="A2851" s="1">
        <v>46221</v>
      </c>
      <c r="B2851">
        <v>2026</v>
      </c>
      <c r="C2851">
        <v>7</v>
      </c>
      <c r="D2851" t="s">
        <v>46</v>
      </c>
      <c r="E2851" t="s">
        <v>47</v>
      </c>
      <c r="F2851" t="s">
        <v>32</v>
      </c>
      <c r="G2851" t="s">
        <v>29</v>
      </c>
      <c r="H2851">
        <v>4</v>
      </c>
      <c r="I2851">
        <v>8800</v>
      </c>
    </row>
    <row r="2852" spans="1:9" x14ac:dyDescent="0.3">
      <c r="A2852" s="1">
        <v>46049</v>
      </c>
      <c r="B2852">
        <v>2026</v>
      </c>
      <c r="C2852">
        <v>1</v>
      </c>
      <c r="D2852" t="s">
        <v>51</v>
      </c>
      <c r="E2852" t="s">
        <v>45</v>
      </c>
      <c r="F2852" t="s">
        <v>32</v>
      </c>
      <c r="G2852" t="s">
        <v>29</v>
      </c>
      <c r="H2852">
        <v>1</v>
      </c>
      <c r="I2852">
        <v>2200</v>
      </c>
    </row>
    <row r="2853" spans="1:9" x14ac:dyDescent="0.3">
      <c r="A2853" s="1">
        <v>46247</v>
      </c>
      <c r="B2853">
        <v>2026</v>
      </c>
      <c r="C2853">
        <v>8</v>
      </c>
      <c r="D2853" t="s">
        <v>49</v>
      </c>
      <c r="E2853" t="s">
        <v>47</v>
      </c>
      <c r="F2853" t="s">
        <v>32</v>
      </c>
      <c r="G2853" t="s">
        <v>29</v>
      </c>
      <c r="H2853">
        <v>1</v>
      </c>
      <c r="I2853">
        <v>2200</v>
      </c>
    </row>
    <row r="2854" spans="1:9" x14ac:dyDescent="0.3">
      <c r="A2854" s="1">
        <v>46057</v>
      </c>
      <c r="B2854">
        <v>2026</v>
      </c>
      <c r="C2854">
        <v>2</v>
      </c>
      <c r="D2854" t="s">
        <v>40</v>
      </c>
      <c r="E2854" t="s">
        <v>41</v>
      </c>
      <c r="F2854" t="s">
        <v>32</v>
      </c>
      <c r="G2854" t="s">
        <v>29</v>
      </c>
      <c r="H2854">
        <v>3</v>
      </c>
      <c r="I2854">
        <v>6600</v>
      </c>
    </row>
    <row r="2855" spans="1:9" x14ac:dyDescent="0.3">
      <c r="A2855" s="1">
        <v>46026</v>
      </c>
      <c r="B2855">
        <v>2026</v>
      </c>
      <c r="C2855">
        <v>1</v>
      </c>
      <c r="D2855" t="s">
        <v>40</v>
      </c>
      <c r="E2855" t="s">
        <v>41</v>
      </c>
      <c r="F2855" t="s">
        <v>32</v>
      </c>
      <c r="G2855" t="s">
        <v>29</v>
      </c>
      <c r="H2855">
        <v>2</v>
      </c>
      <c r="I2855">
        <v>4400</v>
      </c>
    </row>
    <row r="2856" spans="1:9" x14ac:dyDescent="0.3">
      <c r="A2856" s="1">
        <v>46153</v>
      </c>
      <c r="B2856">
        <v>2026</v>
      </c>
      <c r="C2856">
        <v>5</v>
      </c>
      <c r="D2856" t="s">
        <v>51</v>
      </c>
      <c r="E2856" t="s">
        <v>45</v>
      </c>
      <c r="F2856" t="s">
        <v>32</v>
      </c>
      <c r="G2856" t="s">
        <v>29</v>
      </c>
      <c r="H2856">
        <v>4</v>
      </c>
      <c r="I2856">
        <v>8800</v>
      </c>
    </row>
    <row r="2857" spans="1:9" x14ac:dyDescent="0.3">
      <c r="A2857" s="1">
        <v>46071</v>
      </c>
      <c r="B2857">
        <v>2026</v>
      </c>
      <c r="C2857">
        <v>2</v>
      </c>
      <c r="D2857" t="s">
        <v>42</v>
      </c>
      <c r="E2857" t="s">
        <v>43</v>
      </c>
      <c r="F2857" t="s">
        <v>32</v>
      </c>
      <c r="G2857" t="s">
        <v>29</v>
      </c>
      <c r="H2857">
        <v>1</v>
      </c>
      <c r="I2857">
        <v>2200</v>
      </c>
    </row>
    <row r="2858" spans="1:9" x14ac:dyDescent="0.3">
      <c r="A2858" s="1">
        <v>46083</v>
      </c>
      <c r="B2858">
        <v>2026</v>
      </c>
      <c r="C2858">
        <v>3</v>
      </c>
      <c r="D2858" t="s">
        <v>40</v>
      </c>
      <c r="E2858" t="s">
        <v>41</v>
      </c>
      <c r="F2858" t="s">
        <v>32</v>
      </c>
      <c r="G2858" t="s">
        <v>29</v>
      </c>
      <c r="H2858">
        <v>3</v>
      </c>
      <c r="I2858">
        <v>6600</v>
      </c>
    </row>
    <row r="2859" spans="1:9" x14ac:dyDescent="0.3">
      <c r="A2859" s="1">
        <v>46315</v>
      </c>
      <c r="B2859">
        <v>2026</v>
      </c>
      <c r="C2859">
        <v>10</v>
      </c>
      <c r="D2859" t="s">
        <v>42</v>
      </c>
      <c r="E2859" t="s">
        <v>43</v>
      </c>
      <c r="F2859" t="s">
        <v>32</v>
      </c>
      <c r="G2859" t="s">
        <v>29</v>
      </c>
      <c r="H2859">
        <v>4</v>
      </c>
      <c r="I2859">
        <v>8800</v>
      </c>
    </row>
    <row r="2860" spans="1:9" x14ac:dyDescent="0.3">
      <c r="A2860" s="1">
        <v>46180</v>
      </c>
      <c r="B2860">
        <v>2026</v>
      </c>
      <c r="C2860">
        <v>6</v>
      </c>
      <c r="D2860" t="s">
        <v>48</v>
      </c>
      <c r="E2860" t="s">
        <v>43</v>
      </c>
      <c r="F2860" t="s">
        <v>32</v>
      </c>
      <c r="G2860" t="s">
        <v>29</v>
      </c>
      <c r="H2860">
        <v>1</v>
      </c>
      <c r="I2860">
        <v>2200</v>
      </c>
    </row>
    <row r="2861" spans="1:9" x14ac:dyDescent="0.3">
      <c r="A2861" s="1">
        <v>46163</v>
      </c>
      <c r="B2861">
        <v>2026</v>
      </c>
      <c r="C2861">
        <v>5</v>
      </c>
      <c r="D2861" t="s">
        <v>42</v>
      </c>
      <c r="E2861" t="s">
        <v>43</v>
      </c>
      <c r="F2861" t="s">
        <v>32</v>
      </c>
      <c r="G2861" t="s">
        <v>29</v>
      </c>
      <c r="H2861">
        <v>4</v>
      </c>
      <c r="I2861">
        <v>8800</v>
      </c>
    </row>
    <row r="2862" spans="1:9" x14ac:dyDescent="0.3">
      <c r="A2862" s="1">
        <v>46118</v>
      </c>
      <c r="B2862">
        <v>2026</v>
      </c>
      <c r="C2862">
        <v>4</v>
      </c>
      <c r="D2862" t="s">
        <v>42</v>
      </c>
      <c r="E2862" t="s">
        <v>43</v>
      </c>
      <c r="F2862" t="s">
        <v>32</v>
      </c>
      <c r="G2862" t="s">
        <v>29</v>
      </c>
      <c r="H2862">
        <v>5</v>
      </c>
      <c r="I2862">
        <v>11000</v>
      </c>
    </row>
    <row r="2863" spans="1:9" x14ac:dyDescent="0.3">
      <c r="A2863" s="1">
        <v>46046</v>
      </c>
      <c r="B2863">
        <v>2026</v>
      </c>
      <c r="C2863">
        <v>1</v>
      </c>
      <c r="D2863" t="s">
        <v>49</v>
      </c>
      <c r="E2863" t="s">
        <v>47</v>
      </c>
      <c r="F2863" t="s">
        <v>32</v>
      </c>
      <c r="G2863" t="s">
        <v>29</v>
      </c>
      <c r="H2863">
        <v>5</v>
      </c>
      <c r="I2863">
        <v>11000</v>
      </c>
    </row>
    <row r="2864" spans="1:9" x14ac:dyDescent="0.3">
      <c r="A2864" s="1">
        <v>46323</v>
      </c>
      <c r="B2864">
        <v>2026</v>
      </c>
      <c r="C2864">
        <v>10</v>
      </c>
      <c r="D2864" t="s">
        <v>44</v>
      </c>
      <c r="E2864" t="s">
        <v>45</v>
      </c>
      <c r="F2864" t="s">
        <v>32</v>
      </c>
      <c r="G2864" t="s">
        <v>29</v>
      </c>
      <c r="H2864">
        <v>1</v>
      </c>
      <c r="I2864">
        <v>2200</v>
      </c>
    </row>
    <row r="2865" spans="1:9" x14ac:dyDescent="0.3">
      <c r="A2865" s="1">
        <v>46192</v>
      </c>
      <c r="B2865">
        <v>2026</v>
      </c>
      <c r="C2865">
        <v>6</v>
      </c>
      <c r="D2865" t="s">
        <v>46</v>
      </c>
      <c r="E2865" t="s">
        <v>47</v>
      </c>
      <c r="F2865" t="s">
        <v>32</v>
      </c>
      <c r="G2865" t="s">
        <v>29</v>
      </c>
      <c r="H2865">
        <v>3</v>
      </c>
      <c r="I2865">
        <v>6600</v>
      </c>
    </row>
    <row r="2866" spans="1:9" x14ac:dyDescent="0.3">
      <c r="A2866" s="1">
        <v>46206</v>
      </c>
      <c r="B2866">
        <v>2026</v>
      </c>
      <c r="C2866">
        <v>7</v>
      </c>
      <c r="D2866" t="s">
        <v>51</v>
      </c>
      <c r="E2866" t="s">
        <v>45</v>
      </c>
      <c r="F2866" t="s">
        <v>32</v>
      </c>
      <c r="G2866" t="s">
        <v>29</v>
      </c>
      <c r="H2866">
        <v>1</v>
      </c>
      <c r="I2866">
        <v>2200</v>
      </c>
    </row>
    <row r="2867" spans="1:9" x14ac:dyDescent="0.3">
      <c r="A2867" s="1">
        <v>46123</v>
      </c>
      <c r="B2867">
        <v>2026</v>
      </c>
      <c r="C2867">
        <v>4</v>
      </c>
      <c r="D2867" t="s">
        <v>40</v>
      </c>
      <c r="E2867" t="s">
        <v>41</v>
      </c>
      <c r="F2867" t="s">
        <v>32</v>
      </c>
      <c r="G2867" t="s">
        <v>29</v>
      </c>
      <c r="H2867">
        <v>3</v>
      </c>
      <c r="I2867">
        <v>6600</v>
      </c>
    </row>
    <row r="2868" spans="1:9" x14ac:dyDescent="0.3">
      <c r="A2868" s="1">
        <v>46067</v>
      </c>
      <c r="B2868">
        <v>2026</v>
      </c>
      <c r="C2868">
        <v>2</v>
      </c>
      <c r="D2868" t="s">
        <v>51</v>
      </c>
      <c r="E2868" t="s">
        <v>45</v>
      </c>
      <c r="F2868" t="s">
        <v>32</v>
      </c>
      <c r="G2868" t="s">
        <v>29</v>
      </c>
      <c r="H2868">
        <v>4</v>
      </c>
      <c r="I2868">
        <v>8800</v>
      </c>
    </row>
    <row r="2869" spans="1:9" x14ac:dyDescent="0.3">
      <c r="A2869" s="1">
        <v>46141</v>
      </c>
      <c r="B2869">
        <v>2026</v>
      </c>
      <c r="C2869">
        <v>4</v>
      </c>
      <c r="D2869" t="s">
        <v>48</v>
      </c>
      <c r="E2869" t="s">
        <v>43</v>
      </c>
      <c r="F2869" t="s">
        <v>32</v>
      </c>
      <c r="G2869" t="s">
        <v>29</v>
      </c>
      <c r="H2869">
        <v>4</v>
      </c>
      <c r="I2869">
        <v>8800</v>
      </c>
    </row>
    <row r="2870" spans="1:9" x14ac:dyDescent="0.3">
      <c r="A2870" s="1">
        <v>46254</v>
      </c>
      <c r="B2870">
        <v>2026</v>
      </c>
      <c r="C2870">
        <v>8</v>
      </c>
      <c r="D2870" t="s">
        <v>46</v>
      </c>
      <c r="E2870" t="s">
        <v>47</v>
      </c>
      <c r="F2870" t="s">
        <v>32</v>
      </c>
      <c r="G2870" t="s">
        <v>29</v>
      </c>
      <c r="H2870">
        <v>5</v>
      </c>
      <c r="I2870">
        <v>11000</v>
      </c>
    </row>
    <row r="2871" spans="1:9" x14ac:dyDescent="0.3">
      <c r="A2871" s="1">
        <v>46189</v>
      </c>
      <c r="B2871">
        <v>2026</v>
      </c>
      <c r="C2871">
        <v>6</v>
      </c>
      <c r="D2871" t="s">
        <v>48</v>
      </c>
      <c r="E2871" t="s">
        <v>43</v>
      </c>
      <c r="F2871" t="s">
        <v>32</v>
      </c>
      <c r="G2871" t="s">
        <v>29</v>
      </c>
      <c r="H2871">
        <v>5</v>
      </c>
      <c r="I2871">
        <v>11000</v>
      </c>
    </row>
    <row r="2872" spans="1:9" x14ac:dyDescent="0.3">
      <c r="A2872" s="1">
        <v>46155</v>
      </c>
      <c r="B2872">
        <v>2026</v>
      </c>
      <c r="C2872">
        <v>5</v>
      </c>
      <c r="D2872" t="s">
        <v>49</v>
      </c>
      <c r="E2872" t="s">
        <v>47</v>
      </c>
      <c r="F2872" t="s">
        <v>32</v>
      </c>
      <c r="G2872" t="s">
        <v>29</v>
      </c>
      <c r="H2872">
        <v>4</v>
      </c>
      <c r="I2872">
        <v>8800</v>
      </c>
    </row>
    <row r="2873" spans="1:9" x14ac:dyDescent="0.3">
      <c r="A2873" s="1">
        <v>46102</v>
      </c>
      <c r="B2873">
        <v>2026</v>
      </c>
      <c r="C2873">
        <v>3</v>
      </c>
      <c r="D2873" t="s">
        <v>40</v>
      </c>
      <c r="E2873" t="s">
        <v>41</v>
      </c>
      <c r="F2873" t="s">
        <v>32</v>
      </c>
      <c r="G2873" t="s">
        <v>29</v>
      </c>
      <c r="H2873">
        <v>2</v>
      </c>
      <c r="I2873">
        <v>4400</v>
      </c>
    </row>
    <row r="2874" spans="1:9" x14ac:dyDescent="0.3">
      <c r="A2874" s="1">
        <v>46205</v>
      </c>
      <c r="B2874">
        <v>2026</v>
      </c>
      <c r="C2874">
        <v>7</v>
      </c>
      <c r="D2874" t="s">
        <v>51</v>
      </c>
      <c r="E2874" t="s">
        <v>45</v>
      </c>
      <c r="F2874" t="s">
        <v>32</v>
      </c>
      <c r="G2874" t="s">
        <v>29</v>
      </c>
      <c r="H2874">
        <v>1</v>
      </c>
      <c r="I2874">
        <v>2200</v>
      </c>
    </row>
    <row r="2875" spans="1:9" x14ac:dyDescent="0.3">
      <c r="A2875" s="1">
        <v>46184</v>
      </c>
      <c r="B2875">
        <v>2026</v>
      </c>
      <c r="C2875">
        <v>6</v>
      </c>
      <c r="D2875" t="s">
        <v>46</v>
      </c>
      <c r="E2875" t="s">
        <v>47</v>
      </c>
      <c r="F2875" t="s">
        <v>32</v>
      </c>
      <c r="G2875" t="s">
        <v>29</v>
      </c>
      <c r="H2875">
        <v>3</v>
      </c>
      <c r="I2875">
        <v>6600</v>
      </c>
    </row>
    <row r="2876" spans="1:9" x14ac:dyDescent="0.3">
      <c r="A2876" s="1">
        <v>46319</v>
      </c>
      <c r="B2876">
        <v>2026</v>
      </c>
      <c r="C2876">
        <v>10</v>
      </c>
      <c r="D2876" t="s">
        <v>49</v>
      </c>
      <c r="E2876" t="s">
        <v>47</v>
      </c>
      <c r="F2876" t="s">
        <v>32</v>
      </c>
      <c r="G2876" t="s">
        <v>29</v>
      </c>
      <c r="H2876">
        <v>1</v>
      </c>
      <c r="I2876">
        <v>2200</v>
      </c>
    </row>
    <row r="2877" spans="1:9" x14ac:dyDescent="0.3">
      <c r="A2877" s="1">
        <v>46238</v>
      </c>
      <c r="B2877">
        <v>2026</v>
      </c>
      <c r="C2877">
        <v>8</v>
      </c>
      <c r="D2877" t="s">
        <v>40</v>
      </c>
      <c r="E2877" t="s">
        <v>41</v>
      </c>
      <c r="F2877" t="s">
        <v>32</v>
      </c>
      <c r="G2877" t="s">
        <v>29</v>
      </c>
      <c r="H2877">
        <v>2</v>
      </c>
      <c r="I2877">
        <v>4400</v>
      </c>
    </row>
    <row r="2878" spans="1:9" x14ac:dyDescent="0.3">
      <c r="A2878" s="1">
        <v>46249</v>
      </c>
      <c r="B2878">
        <v>2026</v>
      </c>
      <c r="C2878">
        <v>8</v>
      </c>
      <c r="D2878" t="s">
        <v>48</v>
      </c>
      <c r="E2878" t="s">
        <v>43</v>
      </c>
      <c r="F2878" t="s">
        <v>32</v>
      </c>
      <c r="G2878" t="s">
        <v>29</v>
      </c>
      <c r="H2878">
        <v>3</v>
      </c>
      <c r="I2878">
        <v>6600</v>
      </c>
    </row>
    <row r="2879" spans="1:9" x14ac:dyDescent="0.3">
      <c r="A2879" s="1">
        <v>46155</v>
      </c>
      <c r="B2879">
        <v>2026</v>
      </c>
      <c r="C2879">
        <v>5</v>
      </c>
      <c r="D2879" t="s">
        <v>48</v>
      </c>
      <c r="E2879" t="s">
        <v>43</v>
      </c>
      <c r="F2879" t="s">
        <v>32</v>
      </c>
      <c r="G2879" t="s">
        <v>29</v>
      </c>
      <c r="H2879">
        <v>2</v>
      </c>
      <c r="I2879">
        <v>4400</v>
      </c>
    </row>
    <row r="2880" spans="1:9" x14ac:dyDescent="0.3">
      <c r="A2880" s="1">
        <v>46178</v>
      </c>
      <c r="B2880">
        <v>2026</v>
      </c>
      <c r="C2880">
        <v>6</v>
      </c>
      <c r="D2880" t="s">
        <v>44</v>
      </c>
      <c r="E2880" t="s">
        <v>45</v>
      </c>
      <c r="F2880" t="s">
        <v>32</v>
      </c>
      <c r="G2880" t="s">
        <v>29</v>
      </c>
      <c r="H2880">
        <v>4</v>
      </c>
      <c r="I2880">
        <v>8800</v>
      </c>
    </row>
    <row r="2881" spans="1:9" x14ac:dyDescent="0.3">
      <c r="A2881" s="1">
        <v>46070</v>
      </c>
      <c r="B2881">
        <v>2026</v>
      </c>
      <c r="C2881">
        <v>2</v>
      </c>
      <c r="D2881" t="s">
        <v>50</v>
      </c>
      <c r="E2881" t="s">
        <v>41</v>
      </c>
      <c r="F2881" t="s">
        <v>32</v>
      </c>
      <c r="G2881" t="s">
        <v>29</v>
      </c>
      <c r="H2881">
        <v>2</v>
      </c>
      <c r="I2881">
        <v>4400</v>
      </c>
    </row>
    <row r="2882" spans="1:9" x14ac:dyDescent="0.3">
      <c r="A2882" s="1">
        <v>46038</v>
      </c>
      <c r="B2882">
        <v>2026</v>
      </c>
      <c r="C2882">
        <v>1</v>
      </c>
      <c r="D2882" t="s">
        <v>46</v>
      </c>
      <c r="E2882" t="s">
        <v>47</v>
      </c>
      <c r="F2882" t="s">
        <v>32</v>
      </c>
      <c r="G2882" t="s">
        <v>29</v>
      </c>
      <c r="H2882">
        <v>1</v>
      </c>
      <c r="I2882">
        <v>2200</v>
      </c>
    </row>
    <row r="2883" spans="1:9" x14ac:dyDescent="0.3">
      <c r="A2883" s="1">
        <v>46110</v>
      </c>
      <c r="B2883">
        <v>2026</v>
      </c>
      <c r="C2883">
        <v>3</v>
      </c>
      <c r="D2883" t="s">
        <v>48</v>
      </c>
      <c r="E2883" t="s">
        <v>43</v>
      </c>
      <c r="F2883" t="s">
        <v>32</v>
      </c>
      <c r="G2883" t="s">
        <v>29</v>
      </c>
      <c r="H2883">
        <v>5</v>
      </c>
      <c r="I2883">
        <v>11000</v>
      </c>
    </row>
    <row r="2884" spans="1:9" x14ac:dyDescent="0.3">
      <c r="A2884" s="1">
        <v>46220</v>
      </c>
      <c r="B2884">
        <v>2026</v>
      </c>
      <c r="C2884">
        <v>7</v>
      </c>
      <c r="D2884" t="s">
        <v>46</v>
      </c>
      <c r="E2884" t="s">
        <v>47</v>
      </c>
      <c r="F2884" t="s">
        <v>32</v>
      </c>
      <c r="G2884" t="s">
        <v>29</v>
      </c>
      <c r="H2884">
        <v>5</v>
      </c>
      <c r="I2884">
        <v>11000</v>
      </c>
    </row>
    <row r="2885" spans="1:9" x14ac:dyDescent="0.3">
      <c r="A2885" s="1">
        <v>46114</v>
      </c>
      <c r="B2885">
        <v>2026</v>
      </c>
      <c r="C2885">
        <v>4</v>
      </c>
      <c r="D2885" t="s">
        <v>49</v>
      </c>
      <c r="E2885" t="s">
        <v>47</v>
      </c>
      <c r="F2885" t="s">
        <v>32</v>
      </c>
      <c r="G2885" t="s">
        <v>29</v>
      </c>
      <c r="H2885">
        <v>2</v>
      </c>
      <c r="I2885">
        <v>4400</v>
      </c>
    </row>
    <row r="2886" spans="1:9" x14ac:dyDescent="0.3">
      <c r="A2886" s="1">
        <v>46185</v>
      </c>
      <c r="B2886">
        <v>2026</v>
      </c>
      <c r="C2886">
        <v>6</v>
      </c>
      <c r="D2886" t="s">
        <v>51</v>
      </c>
      <c r="E2886" t="s">
        <v>45</v>
      </c>
      <c r="F2886" t="s">
        <v>32</v>
      </c>
      <c r="G2886" t="s">
        <v>29</v>
      </c>
      <c r="H2886">
        <v>2</v>
      </c>
      <c r="I2886">
        <v>4400</v>
      </c>
    </row>
    <row r="2887" spans="1:9" x14ac:dyDescent="0.3">
      <c r="A2887" s="1">
        <v>46106</v>
      </c>
      <c r="B2887">
        <v>2026</v>
      </c>
      <c r="C2887">
        <v>3</v>
      </c>
      <c r="D2887" t="s">
        <v>46</v>
      </c>
      <c r="E2887" t="s">
        <v>47</v>
      </c>
      <c r="F2887" t="s">
        <v>32</v>
      </c>
      <c r="G2887" t="s">
        <v>29</v>
      </c>
      <c r="H2887">
        <v>4</v>
      </c>
      <c r="I2887">
        <v>8800</v>
      </c>
    </row>
    <row r="2888" spans="1:9" x14ac:dyDescent="0.3">
      <c r="A2888" s="1">
        <v>46114</v>
      </c>
      <c r="B2888">
        <v>2026</v>
      </c>
      <c r="C2888">
        <v>4</v>
      </c>
      <c r="D2888" t="s">
        <v>48</v>
      </c>
      <c r="E2888" t="s">
        <v>43</v>
      </c>
      <c r="F2888" t="s">
        <v>32</v>
      </c>
      <c r="G2888" t="s">
        <v>29</v>
      </c>
      <c r="H2888">
        <v>2</v>
      </c>
      <c r="I2888">
        <v>4400</v>
      </c>
    </row>
    <row r="2889" spans="1:9" x14ac:dyDescent="0.3">
      <c r="A2889" s="1">
        <v>46289</v>
      </c>
      <c r="B2889">
        <v>2026</v>
      </c>
      <c r="C2889">
        <v>9</v>
      </c>
      <c r="D2889" t="s">
        <v>48</v>
      </c>
      <c r="E2889" t="s">
        <v>43</v>
      </c>
      <c r="F2889" t="s">
        <v>32</v>
      </c>
      <c r="G2889" t="s">
        <v>29</v>
      </c>
      <c r="H2889">
        <v>2</v>
      </c>
      <c r="I2889">
        <v>4400</v>
      </c>
    </row>
    <row r="2890" spans="1:9" x14ac:dyDescent="0.3">
      <c r="A2890" s="1">
        <v>46197</v>
      </c>
      <c r="B2890">
        <v>2026</v>
      </c>
      <c r="C2890">
        <v>6</v>
      </c>
      <c r="D2890" t="s">
        <v>49</v>
      </c>
      <c r="E2890" t="s">
        <v>47</v>
      </c>
      <c r="F2890" t="s">
        <v>32</v>
      </c>
      <c r="G2890" t="s">
        <v>29</v>
      </c>
      <c r="H2890">
        <v>3</v>
      </c>
      <c r="I2890">
        <v>6600</v>
      </c>
    </row>
    <row r="2891" spans="1:9" x14ac:dyDescent="0.3">
      <c r="A2891" s="1">
        <v>46196</v>
      </c>
      <c r="B2891">
        <v>2026</v>
      </c>
      <c r="C2891">
        <v>6</v>
      </c>
      <c r="D2891" t="s">
        <v>49</v>
      </c>
      <c r="E2891" t="s">
        <v>47</v>
      </c>
      <c r="F2891" t="s">
        <v>32</v>
      </c>
      <c r="G2891" t="s">
        <v>29</v>
      </c>
      <c r="H2891">
        <v>4</v>
      </c>
      <c r="I2891">
        <v>8800</v>
      </c>
    </row>
    <row r="2892" spans="1:9" x14ac:dyDescent="0.3">
      <c r="A2892" s="1">
        <v>46131</v>
      </c>
      <c r="B2892">
        <v>2026</v>
      </c>
      <c r="C2892">
        <v>4</v>
      </c>
      <c r="D2892" t="s">
        <v>40</v>
      </c>
      <c r="E2892" t="s">
        <v>41</v>
      </c>
      <c r="F2892" t="s">
        <v>32</v>
      </c>
      <c r="G2892" t="s">
        <v>29</v>
      </c>
      <c r="H2892">
        <v>5</v>
      </c>
      <c r="I2892">
        <v>11000</v>
      </c>
    </row>
    <row r="2893" spans="1:9" x14ac:dyDescent="0.3">
      <c r="A2893" s="1">
        <v>46239</v>
      </c>
      <c r="B2893">
        <v>2026</v>
      </c>
      <c r="C2893">
        <v>8</v>
      </c>
      <c r="D2893" t="s">
        <v>46</v>
      </c>
      <c r="E2893" t="s">
        <v>47</v>
      </c>
      <c r="F2893" t="s">
        <v>32</v>
      </c>
      <c r="G2893" t="s">
        <v>29</v>
      </c>
      <c r="H2893">
        <v>1</v>
      </c>
      <c r="I2893">
        <v>2200</v>
      </c>
    </row>
    <row r="2894" spans="1:9" x14ac:dyDescent="0.3">
      <c r="A2894" s="1">
        <v>46237</v>
      </c>
      <c r="B2894">
        <v>2026</v>
      </c>
      <c r="C2894">
        <v>8</v>
      </c>
      <c r="D2894" t="s">
        <v>46</v>
      </c>
      <c r="E2894" t="s">
        <v>47</v>
      </c>
      <c r="F2894" t="s">
        <v>32</v>
      </c>
      <c r="G2894" t="s">
        <v>29</v>
      </c>
      <c r="H2894">
        <v>3</v>
      </c>
      <c r="I2894">
        <v>6600</v>
      </c>
    </row>
    <row r="2895" spans="1:9" x14ac:dyDescent="0.3">
      <c r="A2895" s="1">
        <v>46045</v>
      </c>
      <c r="B2895">
        <v>2026</v>
      </c>
      <c r="C2895">
        <v>1</v>
      </c>
      <c r="D2895" t="s">
        <v>51</v>
      </c>
      <c r="E2895" t="s">
        <v>45</v>
      </c>
      <c r="F2895" t="s">
        <v>32</v>
      </c>
      <c r="G2895" t="s">
        <v>29</v>
      </c>
      <c r="H2895">
        <v>2</v>
      </c>
      <c r="I2895">
        <v>4400</v>
      </c>
    </row>
    <row r="2896" spans="1:9" x14ac:dyDescent="0.3">
      <c r="A2896" s="1">
        <v>46280</v>
      </c>
      <c r="B2896">
        <v>2026</v>
      </c>
      <c r="C2896">
        <v>9</v>
      </c>
      <c r="D2896" t="s">
        <v>42</v>
      </c>
      <c r="E2896" t="s">
        <v>43</v>
      </c>
      <c r="F2896" t="s">
        <v>32</v>
      </c>
      <c r="G2896" t="s">
        <v>29</v>
      </c>
      <c r="H2896">
        <v>5</v>
      </c>
      <c r="I2896">
        <v>11000</v>
      </c>
    </row>
    <row r="2897" spans="1:9" x14ac:dyDescent="0.3">
      <c r="A2897" s="1">
        <v>46189</v>
      </c>
      <c r="B2897">
        <v>2026</v>
      </c>
      <c r="C2897">
        <v>6</v>
      </c>
      <c r="D2897" t="s">
        <v>48</v>
      </c>
      <c r="E2897" t="s">
        <v>43</v>
      </c>
      <c r="F2897" t="s">
        <v>32</v>
      </c>
      <c r="G2897" t="s">
        <v>29</v>
      </c>
      <c r="H2897">
        <v>5</v>
      </c>
      <c r="I2897">
        <v>11000</v>
      </c>
    </row>
    <row r="2898" spans="1:9" x14ac:dyDescent="0.3">
      <c r="A2898" s="1">
        <v>46077</v>
      </c>
      <c r="B2898">
        <v>2026</v>
      </c>
      <c r="C2898">
        <v>2</v>
      </c>
      <c r="D2898" t="s">
        <v>51</v>
      </c>
      <c r="E2898" t="s">
        <v>45</v>
      </c>
      <c r="F2898" t="s">
        <v>32</v>
      </c>
      <c r="G2898" t="s">
        <v>29</v>
      </c>
      <c r="H2898">
        <v>1</v>
      </c>
      <c r="I2898">
        <v>2200</v>
      </c>
    </row>
    <row r="2899" spans="1:9" x14ac:dyDescent="0.3">
      <c r="A2899" s="1">
        <v>46267</v>
      </c>
      <c r="B2899">
        <v>2026</v>
      </c>
      <c r="C2899">
        <v>9</v>
      </c>
      <c r="D2899" t="s">
        <v>51</v>
      </c>
      <c r="E2899" t="s">
        <v>45</v>
      </c>
      <c r="F2899" t="s">
        <v>32</v>
      </c>
      <c r="G2899" t="s">
        <v>29</v>
      </c>
      <c r="H2899">
        <v>4</v>
      </c>
      <c r="I2899">
        <v>8800</v>
      </c>
    </row>
    <row r="2900" spans="1:9" x14ac:dyDescent="0.3">
      <c r="A2900" s="1">
        <v>46133</v>
      </c>
      <c r="B2900">
        <v>2026</v>
      </c>
      <c r="C2900">
        <v>4</v>
      </c>
      <c r="D2900" t="s">
        <v>51</v>
      </c>
      <c r="E2900" t="s">
        <v>45</v>
      </c>
      <c r="F2900" t="s">
        <v>32</v>
      </c>
      <c r="G2900" t="s">
        <v>29</v>
      </c>
      <c r="H2900">
        <v>3</v>
      </c>
      <c r="I2900">
        <v>6600</v>
      </c>
    </row>
    <row r="2901" spans="1:9" x14ac:dyDescent="0.3">
      <c r="A2901" s="1">
        <v>46041</v>
      </c>
      <c r="B2901">
        <v>2026</v>
      </c>
      <c r="C2901">
        <v>1</v>
      </c>
      <c r="D2901" t="s">
        <v>44</v>
      </c>
      <c r="E2901" t="s">
        <v>45</v>
      </c>
      <c r="F2901" t="s">
        <v>32</v>
      </c>
      <c r="G2901" t="s">
        <v>29</v>
      </c>
      <c r="H2901">
        <v>4</v>
      </c>
      <c r="I2901">
        <v>8800</v>
      </c>
    </row>
    <row r="2902" spans="1:9" x14ac:dyDescent="0.3">
      <c r="A2902" s="1">
        <v>46081</v>
      </c>
      <c r="B2902">
        <v>2026</v>
      </c>
      <c r="C2902">
        <v>2</v>
      </c>
      <c r="D2902" t="s">
        <v>49</v>
      </c>
      <c r="E2902" t="s">
        <v>47</v>
      </c>
      <c r="F2902" t="s">
        <v>32</v>
      </c>
      <c r="G2902" t="s">
        <v>29</v>
      </c>
      <c r="H2902">
        <v>3</v>
      </c>
      <c r="I2902">
        <v>6600</v>
      </c>
    </row>
    <row r="2903" spans="1:9" x14ac:dyDescent="0.3">
      <c r="A2903" s="1">
        <v>46049</v>
      </c>
      <c r="B2903">
        <v>2026</v>
      </c>
      <c r="C2903">
        <v>1</v>
      </c>
      <c r="D2903" t="s">
        <v>51</v>
      </c>
      <c r="E2903" t="s">
        <v>45</v>
      </c>
      <c r="F2903" t="s">
        <v>32</v>
      </c>
      <c r="G2903" t="s">
        <v>29</v>
      </c>
      <c r="H2903">
        <v>3</v>
      </c>
      <c r="I2903">
        <v>6600</v>
      </c>
    </row>
    <row r="2904" spans="1:9" x14ac:dyDescent="0.3">
      <c r="A2904" s="1">
        <v>46244</v>
      </c>
      <c r="B2904">
        <v>2026</v>
      </c>
      <c r="C2904">
        <v>8</v>
      </c>
      <c r="D2904" t="s">
        <v>50</v>
      </c>
      <c r="E2904" t="s">
        <v>41</v>
      </c>
      <c r="F2904" t="s">
        <v>32</v>
      </c>
      <c r="G2904" t="s">
        <v>29</v>
      </c>
      <c r="H2904">
        <v>4</v>
      </c>
      <c r="I2904">
        <v>8800</v>
      </c>
    </row>
    <row r="2905" spans="1:9" x14ac:dyDescent="0.3">
      <c r="A2905" s="1">
        <v>46059</v>
      </c>
      <c r="B2905">
        <v>2026</v>
      </c>
      <c r="C2905">
        <v>2</v>
      </c>
      <c r="D2905" t="s">
        <v>42</v>
      </c>
      <c r="E2905" t="s">
        <v>43</v>
      </c>
      <c r="F2905" t="s">
        <v>32</v>
      </c>
      <c r="G2905" t="s">
        <v>29</v>
      </c>
      <c r="H2905">
        <v>3</v>
      </c>
      <c r="I2905">
        <v>6600</v>
      </c>
    </row>
    <row r="2906" spans="1:9" x14ac:dyDescent="0.3">
      <c r="A2906" s="1">
        <v>46092</v>
      </c>
      <c r="B2906">
        <v>2026</v>
      </c>
      <c r="C2906">
        <v>3</v>
      </c>
      <c r="D2906" t="s">
        <v>51</v>
      </c>
      <c r="E2906" t="s">
        <v>45</v>
      </c>
      <c r="F2906" t="s">
        <v>32</v>
      </c>
      <c r="G2906" t="s">
        <v>29</v>
      </c>
      <c r="H2906">
        <v>3</v>
      </c>
      <c r="I2906">
        <v>6600</v>
      </c>
    </row>
    <row r="2907" spans="1:9" x14ac:dyDescent="0.3">
      <c r="A2907" s="1">
        <v>46301</v>
      </c>
      <c r="B2907">
        <v>2026</v>
      </c>
      <c r="C2907">
        <v>10</v>
      </c>
      <c r="D2907" t="s">
        <v>42</v>
      </c>
      <c r="E2907" t="s">
        <v>43</v>
      </c>
      <c r="F2907" t="s">
        <v>32</v>
      </c>
      <c r="G2907" t="s">
        <v>29</v>
      </c>
      <c r="H2907">
        <v>2</v>
      </c>
      <c r="I2907">
        <v>4400</v>
      </c>
    </row>
    <row r="2908" spans="1:9" x14ac:dyDescent="0.3">
      <c r="A2908" s="1">
        <v>46219</v>
      </c>
      <c r="B2908">
        <v>2026</v>
      </c>
      <c r="C2908">
        <v>7</v>
      </c>
      <c r="D2908" t="s">
        <v>49</v>
      </c>
      <c r="E2908" t="s">
        <v>47</v>
      </c>
      <c r="F2908" t="s">
        <v>32</v>
      </c>
      <c r="G2908" t="s">
        <v>29</v>
      </c>
      <c r="H2908">
        <v>3</v>
      </c>
      <c r="I2908">
        <v>6600</v>
      </c>
    </row>
    <row r="2909" spans="1:9" x14ac:dyDescent="0.3">
      <c r="A2909" s="1">
        <v>46254</v>
      </c>
      <c r="B2909">
        <v>2026</v>
      </c>
      <c r="C2909">
        <v>8</v>
      </c>
      <c r="D2909" t="s">
        <v>42</v>
      </c>
      <c r="E2909" t="s">
        <v>43</v>
      </c>
      <c r="F2909" t="s">
        <v>32</v>
      </c>
      <c r="G2909" t="s">
        <v>29</v>
      </c>
      <c r="H2909">
        <v>5</v>
      </c>
      <c r="I2909">
        <v>11000</v>
      </c>
    </row>
    <row r="2910" spans="1:9" x14ac:dyDescent="0.3">
      <c r="A2910" s="1">
        <v>46312</v>
      </c>
      <c r="B2910">
        <v>2026</v>
      </c>
      <c r="C2910">
        <v>10</v>
      </c>
      <c r="D2910" t="s">
        <v>50</v>
      </c>
      <c r="E2910" t="s">
        <v>41</v>
      </c>
      <c r="F2910" t="s">
        <v>32</v>
      </c>
      <c r="G2910" t="s">
        <v>29</v>
      </c>
      <c r="H2910">
        <v>1</v>
      </c>
      <c r="I2910">
        <v>2200</v>
      </c>
    </row>
    <row r="2911" spans="1:9" x14ac:dyDescent="0.3">
      <c r="A2911" s="1">
        <v>46198</v>
      </c>
      <c r="B2911">
        <v>2026</v>
      </c>
      <c r="C2911">
        <v>6</v>
      </c>
      <c r="D2911" t="s">
        <v>44</v>
      </c>
      <c r="E2911" t="s">
        <v>45</v>
      </c>
      <c r="F2911" t="s">
        <v>32</v>
      </c>
      <c r="G2911" t="s">
        <v>29</v>
      </c>
      <c r="H2911">
        <v>2</v>
      </c>
      <c r="I2911">
        <v>4400</v>
      </c>
    </row>
    <row r="2912" spans="1:9" x14ac:dyDescent="0.3">
      <c r="A2912" s="1">
        <v>46315</v>
      </c>
      <c r="B2912">
        <v>2026</v>
      </c>
      <c r="C2912">
        <v>10</v>
      </c>
      <c r="D2912" t="s">
        <v>51</v>
      </c>
      <c r="E2912" t="s">
        <v>45</v>
      </c>
      <c r="F2912" t="s">
        <v>32</v>
      </c>
      <c r="G2912" t="s">
        <v>29</v>
      </c>
      <c r="H2912">
        <v>1</v>
      </c>
      <c r="I2912">
        <v>2200</v>
      </c>
    </row>
    <row r="2913" spans="1:9" x14ac:dyDescent="0.3">
      <c r="A2913" s="1">
        <v>46316</v>
      </c>
      <c r="B2913">
        <v>2026</v>
      </c>
      <c r="C2913">
        <v>10</v>
      </c>
      <c r="D2913" t="s">
        <v>44</v>
      </c>
      <c r="E2913" t="s">
        <v>45</v>
      </c>
      <c r="F2913" t="s">
        <v>32</v>
      </c>
      <c r="G2913" t="s">
        <v>29</v>
      </c>
      <c r="H2913">
        <v>4</v>
      </c>
      <c r="I2913">
        <v>8800</v>
      </c>
    </row>
    <row r="2914" spans="1:9" x14ac:dyDescent="0.3">
      <c r="A2914" s="1">
        <v>46213</v>
      </c>
      <c r="B2914">
        <v>2026</v>
      </c>
      <c r="C2914">
        <v>7</v>
      </c>
      <c r="D2914" t="s">
        <v>50</v>
      </c>
      <c r="E2914" t="s">
        <v>41</v>
      </c>
      <c r="F2914" t="s">
        <v>32</v>
      </c>
      <c r="G2914" t="s">
        <v>29</v>
      </c>
      <c r="H2914">
        <v>2</v>
      </c>
      <c r="I2914">
        <v>4400</v>
      </c>
    </row>
    <row r="2915" spans="1:9" x14ac:dyDescent="0.3">
      <c r="A2915" s="1">
        <v>46063</v>
      </c>
      <c r="B2915">
        <v>2026</v>
      </c>
      <c r="C2915">
        <v>2</v>
      </c>
      <c r="D2915" t="s">
        <v>51</v>
      </c>
      <c r="E2915" t="s">
        <v>45</v>
      </c>
      <c r="F2915" t="s">
        <v>32</v>
      </c>
      <c r="G2915" t="s">
        <v>29</v>
      </c>
      <c r="H2915">
        <v>2</v>
      </c>
      <c r="I2915">
        <v>4400</v>
      </c>
    </row>
    <row r="2916" spans="1:9" x14ac:dyDescent="0.3">
      <c r="A2916" s="1">
        <v>46126</v>
      </c>
      <c r="B2916">
        <v>2026</v>
      </c>
      <c r="C2916">
        <v>4</v>
      </c>
      <c r="D2916" t="s">
        <v>49</v>
      </c>
      <c r="E2916" t="s">
        <v>47</v>
      </c>
      <c r="F2916" t="s">
        <v>32</v>
      </c>
      <c r="G2916" t="s">
        <v>29</v>
      </c>
      <c r="H2916">
        <v>1</v>
      </c>
      <c r="I2916">
        <v>2200</v>
      </c>
    </row>
    <row r="2917" spans="1:9" x14ac:dyDescent="0.3">
      <c r="A2917" s="1">
        <v>46084</v>
      </c>
      <c r="B2917">
        <v>2026</v>
      </c>
      <c r="C2917">
        <v>3</v>
      </c>
      <c r="D2917" t="s">
        <v>49</v>
      </c>
      <c r="E2917" t="s">
        <v>47</v>
      </c>
      <c r="F2917" t="s">
        <v>32</v>
      </c>
      <c r="G2917" t="s">
        <v>29</v>
      </c>
      <c r="H2917">
        <v>5</v>
      </c>
      <c r="I2917">
        <v>11000</v>
      </c>
    </row>
    <row r="2918" spans="1:9" x14ac:dyDescent="0.3">
      <c r="A2918" s="1">
        <v>46138</v>
      </c>
      <c r="B2918">
        <v>2026</v>
      </c>
      <c r="C2918">
        <v>4</v>
      </c>
      <c r="D2918" t="s">
        <v>42</v>
      </c>
      <c r="E2918" t="s">
        <v>43</v>
      </c>
      <c r="F2918" t="s">
        <v>32</v>
      </c>
      <c r="G2918" t="s">
        <v>29</v>
      </c>
      <c r="H2918">
        <v>5</v>
      </c>
      <c r="I2918">
        <v>11000</v>
      </c>
    </row>
    <row r="2919" spans="1:9" x14ac:dyDescent="0.3">
      <c r="A2919" s="1">
        <v>46115</v>
      </c>
      <c r="B2919">
        <v>2026</v>
      </c>
      <c r="C2919">
        <v>4</v>
      </c>
      <c r="D2919" t="s">
        <v>50</v>
      </c>
      <c r="E2919" t="s">
        <v>41</v>
      </c>
      <c r="F2919" t="s">
        <v>32</v>
      </c>
      <c r="G2919" t="s">
        <v>29</v>
      </c>
      <c r="H2919">
        <v>5</v>
      </c>
      <c r="I2919">
        <v>11000</v>
      </c>
    </row>
    <row r="2920" spans="1:9" x14ac:dyDescent="0.3">
      <c r="A2920" s="1">
        <v>46217</v>
      </c>
      <c r="B2920">
        <v>2026</v>
      </c>
      <c r="C2920">
        <v>7</v>
      </c>
      <c r="D2920" t="s">
        <v>49</v>
      </c>
      <c r="E2920" t="s">
        <v>47</v>
      </c>
      <c r="F2920" t="s">
        <v>32</v>
      </c>
      <c r="G2920" t="s">
        <v>29</v>
      </c>
      <c r="H2920">
        <v>3</v>
      </c>
      <c r="I2920">
        <v>6600</v>
      </c>
    </row>
    <row r="2921" spans="1:9" x14ac:dyDescent="0.3">
      <c r="A2921" s="1">
        <v>46025</v>
      </c>
      <c r="B2921">
        <v>2026</v>
      </c>
      <c r="C2921">
        <v>1</v>
      </c>
      <c r="D2921" t="s">
        <v>50</v>
      </c>
      <c r="E2921" t="s">
        <v>41</v>
      </c>
      <c r="F2921" t="s">
        <v>32</v>
      </c>
      <c r="G2921" t="s">
        <v>29</v>
      </c>
      <c r="H2921">
        <v>4</v>
      </c>
      <c r="I2921">
        <v>8800</v>
      </c>
    </row>
    <row r="2922" spans="1:9" x14ac:dyDescent="0.3">
      <c r="A2922" s="1">
        <v>46047</v>
      </c>
      <c r="B2922">
        <v>2026</v>
      </c>
      <c r="C2922">
        <v>1</v>
      </c>
      <c r="D2922" t="s">
        <v>50</v>
      </c>
      <c r="E2922" t="s">
        <v>41</v>
      </c>
      <c r="F2922" t="s">
        <v>32</v>
      </c>
      <c r="G2922" t="s">
        <v>29</v>
      </c>
      <c r="H2922">
        <v>1</v>
      </c>
      <c r="I2922">
        <v>2200</v>
      </c>
    </row>
    <row r="2923" spans="1:9" x14ac:dyDescent="0.3">
      <c r="A2923" s="1">
        <v>46073</v>
      </c>
      <c r="B2923">
        <v>2026</v>
      </c>
      <c r="C2923">
        <v>2</v>
      </c>
      <c r="D2923" t="s">
        <v>50</v>
      </c>
      <c r="E2923" t="s">
        <v>41</v>
      </c>
      <c r="F2923" t="s">
        <v>32</v>
      </c>
      <c r="G2923" t="s">
        <v>29</v>
      </c>
      <c r="H2923">
        <v>3</v>
      </c>
      <c r="I2923">
        <v>6600</v>
      </c>
    </row>
    <row r="2924" spans="1:9" x14ac:dyDescent="0.3">
      <c r="A2924" s="1">
        <v>46317</v>
      </c>
      <c r="B2924">
        <v>2026</v>
      </c>
      <c r="C2924">
        <v>10</v>
      </c>
      <c r="D2924" t="s">
        <v>48</v>
      </c>
      <c r="E2924" t="s">
        <v>43</v>
      </c>
      <c r="F2924" t="s">
        <v>32</v>
      </c>
      <c r="G2924" t="s">
        <v>29</v>
      </c>
      <c r="H2924">
        <v>3</v>
      </c>
      <c r="I2924">
        <v>6600</v>
      </c>
    </row>
    <row r="2925" spans="1:9" x14ac:dyDescent="0.3">
      <c r="A2925" s="1">
        <v>46194</v>
      </c>
      <c r="B2925">
        <v>2026</v>
      </c>
      <c r="C2925">
        <v>6</v>
      </c>
      <c r="D2925" t="s">
        <v>48</v>
      </c>
      <c r="E2925" t="s">
        <v>43</v>
      </c>
      <c r="F2925" t="s">
        <v>32</v>
      </c>
      <c r="G2925" t="s">
        <v>29</v>
      </c>
      <c r="H2925">
        <v>3</v>
      </c>
      <c r="I2925">
        <v>6600</v>
      </c>
    </row>
    <row r="2926" spans="1:9" x14ac:dyDescent="0.3">
      <c r="A2926" s="1">
        <v>46041</v>
      </c>
      <c r="B2926">
        <v>2026</v>
      </c>
      <c r="C2926">
        <v>1</v>
      </c>
      <c r="D2926" t="s">
        <v>48</v>
      </c>
      <c r="E2926" t="s">
        <v>43</v>
      </c>
      <c r="F2926" t="s">
        <v>32</v>
      </c>
      <c r="G2926" t="s">
        <v>29</v>
      </c>
      <c r="H2926">
        <v>3</v>
      </c>
      <c r="I2926">
        <v>6600</v>
      </c>
    </row>
    <row r="2927" spans="1:9" x14ac:dyDescent="0.3">
      <c r="A2927" s="1">
        <v>46126</v>
      </c>
      <c r="B2927">
        <v>2026</v>
      </c>
      <c r="C2927">
        <v>4</v>
      </c>
      <c r="D2927" t="s">
        <v>46</v>
      </c>
      <c r="E2927" t="s">
        <v>47</v>
      </c>
      <c r="F2927" t="s">
        <v>32</v>
      </c>
      <c r="G2927" t="s">
        <v>29</v>
      </c>
      <c r="H2927">
        <v>1</v>
      </c>
      <c r="I2927">
        <v>2200</v>
      </c>
    </row>
    <row r="2928" spans="1:9" x14ac:dyDescent="0.3">
      <c r="A2928" s="1">
        <v>46105</v>
      </c>
      <c r="B2928">
        <v>2026</v>
      </c>
      <c r="C2928">
        <v>3</v>
      </c>
      <c r="D2928" t="s">
        <v>40</v>
      </c>
      <c r="E2928" t="s">
        <v>41</v>
      </c>
      <c r="F2928" t="s">
        <v>32</v>
      </c>
      <c r="G2928" t="s">
        <v>29</v>
      </c>
      <c r="H2928">
        <v>1</v>
      </c>
      <c r="I2928">
        <v>2200</v>
      </c>
    </row>
    <row r="2929" spans="1:9" x14ac:dyDescent="0.3">
      <c r="A2929" s="1">
        <v>46108</v>
      </c>
      <c r="B2929">
        <v>2026</v>
      </c>
      <c r="C2929">
        <v>3</v>
      </c>
      <c r="D2929" t="s">
        <v>48</v>
      </c>
      <c r="E2929" t="s">
        <v>43</v>
      </c>
      <c r="F2929" t="s">
        <v>32</v>
      </c>
      <c r="G2929" t="s">
        <v>29</v>
      </c>
      <c r="H2929">
        <v>4</v>
      </c>
      <c r="I2929">
        <v>8800</v>
      </c>
    </row>
    <row r="2930" spans="1:9" x14ac:dyDescent="0.3">
      <c r="A2930" s="1">
        <v>46173</v>
      </c>
      <c r="B2930">
        <v>2026</v>
      </c>
      <c r="C2930">
        <v>5</v>
      </c>
      <c r="D2930" t="s">
        <v>50</v>
      </c>
      <c r="E2930" t="s">
        <v>41</v>
      </c>
      <c r="F2930" t="s">
        <v>32</v>
      </c>
      <c r="G2930" t="s">
        <v>29</v>
      </c>
      <c r="H2930">
        <v>3</v>
      </c>
      <c r="I2930">
        <v>6600</v>
      </c>
    </row>
    <row r="2931" spans="1:9" x14ac:dyDescent="0.3">
      <c r="A2931" s="1">
        <v>46317</v>
      </c>
      <c r="B2931">
        <v>2026</v>
      </c>
      <c r="C2931">
        <v>10</v>
      </c>
      <c r="D2931" t="s">
        <v>42</v>
      </c>
      <c r="E2931" t="s">
        <v>43</v>
      </c>
      <c r="F2931" t="s">
        <v>32</v>
      </c>
      <c r="G2931" t="s">
        <v>29</v>
      </c>
      <c r="H2931">
        <v>4</v>
      </c>
      <c r="I2931">
        <v>8800</v>
      </c>
    </row>
    <row r="2932" spans="1:9" x14ac:dyDescent="0.3">
      <c r="A2932" s="1">
        <v>46214</v>
      </c>
      <c r="B2932">
        <v>2026</v>
      </c>
      <c r="C2932">
        <v>7</v>
      </c>
      <c r="D2932" t="s">
        <v>46</v>
      </c>
      <c r="E2932" t="s">
        <v>47</v>
      </c>
      <c r="F2932" t="s">
        <v>32</v>
      </c>
      <c r="G2932" t="s">
        <v>29</v>
      </c>
      <c r="H2932">
        <v>2</v>
      </c>
      <c r="I2932">
        <v>4400</v>
      </c>
    </row>
    <row r="2933" spans="1:9" x14ac:dyDescent="0.3">
      <c r="A2933" s="1">
        <v>46049</v>
      </c>
      <c r="B2933">
        <v>2026</v>
      </c>
      <c r="C2933">
        <v>1</v>
      </c>
      <c r="D2933" t="s">
        <v>48</v>
      </c>
      <c r="E2933" t="s">
        <v>43</v>
      </c>
      <c r="F2933" t="s">
        <v>32</v>
      </c>
      <c r="G2933" t="s">
        <v>29</v>
      </c>
      <c r="H2933">
        <v>4</v>
      </c>
      <c r="I2933">
        <v>8800</v>
      </c>
    </row>
    <row r="2934" spans="1:9" x14ac:dyDescent="0.3">
      <c r="A2934" s="1">
        <v>46094</v>
      </c>
      <c r="B2934">
        <v>2026</v>
      </c>
      <c r="C2934">
        <v>3</v>
      </c>
      <c r="D2934" t="s">
        <v>50</v>
      </c>
      <c r="E2934" t="s">
        <v>41</v>
      </c>
      <c r="F2934" t="s">
        <v>32</v>
      </c>
      <c r="G2934" t="s">
        <v>29</v>
      </c>
      <c r="H2934">
        <v>5</v>
      </c>
      <c r="I2934">
        <v>11000</v>
      </c>
    </row>
    <row r="2935" spans="1:9" x14ac:dyDescent="0.3">
      <c r="A2935" s="1">
        <v>46111</v>
      </c>
      <c r="B2935">
        <v>2026</v>
      </c>
      <c r="C2935">
        <v>3</v>
      </c>
      <c r="D2935" t="s">
        <v>44</v>
      </c>
      <c r="E2935" t="s">
        <v>45</v>
      </c>
      <c r="F2935" t="s">
        <v>32</v>
      </c>
      <c r="G2935" t="s">
        <v>29</v>
      </c>
      <c r="H2935">
        <v>4</v>
      </c>
      <c r="I2935">
        <v>8800</v>
      </c>
    </row>
    <row r="2936" spans="1:9" x14ac:dyDescent="0.3">
      <c r="A2936" s="1">
        <v>46115</v>
      </c>
      <c r="B2936">
        <v>2026</v>
      </c>
      <c r="C2936">
        <v>4</v>
      </c>
      <c r="D2936" t="s">
        <v>44</v>
      </c>
      <c r="E2936" t="s">
        <v>45</v>
      </c>
      <c r="F2936" t="s">
        <v>32</v>
      </c>
      <c r="G2936" t="s">
        <v>29</v>
      </c>
      <c r="H2936">
        <v>3</v>
      </c>
      <c r="I2936">
        <v>6600</v>
      </c>
    </row>
    <row r="2937" spans="1:9" x14ac:dyDescent="0.3">
      <c r="A2937" s="1">
        <v>46175</v>
      </c>
      <c r="B2937">
        <v>2026</v>
      </c>
      <c r="C2937">
        <v>6</v>
      </c>
      <c r="D2937" t="s">
        <v>40</v>
      </c>
      <c r="E2937" t="s">
        <v>41</v>
      </c>
      <c r="F2937" t="s">
        <v>32</v>
      </c>
      <c r="G2937" t="s">
        <v>29</v>
      </c>
      <c r="H2937">
        <v>3</v>
      </c>
      <c r="I2937">
        <v>6600</v>
      </c>
    </row>
    <row r="2938" spans="1:9" x14ac:dyDescent="0.3">
      <c r="A2938" s="1">
        <v>46217</v>
      </c>
      <c r="B2938">
        <v>2026</v>
      </c>
      <c r="C2938">
        <v>7</v>
      </c>
      <c r="D2938" t="s">
        <v>50</v>
      </c>
      <c r="E2938" t="s">
        <v>41</v>
      </c>
      <c r="F2938" t="s">
        <v>32</v>
      </c>
      <c r="G2938" t="s">
        <v>29</v>
      </c>
      <c r="H2938">
        <v>5</v>
      </c>
      <c r="I2938">
        <v>11000</v>
      </c>
    </row>
    <row r="2939" spans="1:9" x14ac:dyDescent="0.3">
      <c r="A2939" s="1">
        <v>46245</v>
      </c>
      <c r="B2939">
        <v>2026</v>
      </c>
      <c r="C2939">
        <v>8</v>
      </c>
      <c r="D2939" t="s">
        <v>42</v>
      </c>
      <c r="E2939" t="s">
        <v>43</v>
      </c>
      <c r="F2939" t="s">
        <v>32</v>
      </c>
      <c r="G2939" t="s">
        <v>29</v>
      </c>
      <c r="H2939">
        <v>3</v>
      </c>
      <c r="I2939">
        <v>6600</v>
      </c>
    </row>
    <row r="2940" spans="1:9" x14ac:dyDescent="0.3">
      <c r="A2940" s="1">
        <v>46322</v>
      </c>
      <c r="B2940">
        <v>2026</v>
      </c>
      <c r="C2940">
        <v>10</v>
      </c>
      <c r="D2940" t="s">
        <v>40</v>
      </c>
      <c r="E2940" t="s">
        <v>41</v>
      </c>
      <c r="F2940" t="s">
        <v>32</v>
      </c>
      <c r="G2940" t="s">
        <v>29</v>
      </c>
      <c r="H2940">
        <v>4</v>
      </c>
      <c r="I2940">
        <v>8800</v>
      </c>
    </row>
    <row r="2941" spans="1:9" x14ac:dyDescent="0.3">
      <c r="A2941" s="1">
        <v>46107</v>
      </c>
      <c r="B2941">
        <v>2026</v>
      </c>
      <c r="C2941">
        <v>3</v>
      </c>
      <c r="D2941" t="s">
        <v>42</v>
      </c>
      <c r="E2941" t="s">
        <v>43</v>
      </c>
      <c r="F2941" t="s">
        <v>32</v>
      </c>
      <c r="G2941" t="s">
        <v>29</v>
      </c>
      <c r="H2941">
        <v>3</v>
      </c>
      <c r="I2941">
        <v>6600</v>
      </c>
    </row>
    <row r="2942" spans="1:9" x14ac:dyDescent="0.3">
      <c r="A2942" s="1">
        <v>46174</v>
      </c>
      <c r="B2942">
        <v>2026</v>
      </c>
      <c r="C2942">
        <v>6</v>
      </c>
      <c r="D2942" t="s">
        <v>51</v>
      </c>
      <c r="E2942" t="s">
        <v>45</v>
      </c>
      <c r="F2942" t="s">
        <v>32</v>
      </c>
      <c r="G2942" t="s">
        <v>29</v>
      </c>
      <c r="H2942">
        <v>2</v>
      </c>
      <c r="I2942">
        <v>4400</v>
      </c>
    </row>
    <row r="2943" spans="1:9" x14ac:dyDescent="0.3">
      <c r="A2943" s="1">
        <v>46233</v>
      </c>
      <c r="B2943">
        <v>2026</v>
      </c>
      <c r="C2943">
        <v>7</v>
      </c>
      <c r="D2943" t="s">
        <v>50</v>
      </c>
      <c r="E2943" t="s">
        <v>41</v>
      </c>
      <c r="F2943" t="s">
        <v>32</v>
      </c>
      <c r="G2943" t="s">
        <v>29</v>
      </c>
      <c r="H2943">
        <v>5</v>
      </c>
      <c r="I2943">
        <v>11000</v>
      </c>
    </row>
    <row r="2944" spans="1:9" x14ac:dyDescent="0.3">
      <c r="A2944" s="1">
        <v>46077</v>
      </c>
      <c r="B2944">
        <v>2026</v>
      </c>
      <c r="C2944">
        <v>2</v>
      </c>
      <c r="D2944" t="s">
        <v>49</v>
      </c>
      <c r="E2944" t="s">
        <v>47</v>
      </c>
      <c r="F2944" t="s">
        <v>32</v>
      </c>
      <c r="G2944" t="s">
        <v>29</v>
      </c>
      <c r="H2944">
        <v>5</v>
      </c>
      <c r="I2944">
        <v>11000</v>
      </c>
    </row>
    <row r="2945" spans="1:9" x14ac:dyDescent="0.3">
      <c r="A2945" s="1">
        <v>46139</v>
      </c>
      <c r="B2945">
        <v>2026</v>
      </c>
      <c r="C2945">
        <v>4</v>
      </c>
      <c r="D2945" t="s">
        <v>49</v>
      </c>
      <c r="E2945" t="s">
        <v>47</v>
      </c>
      <c r="F2945" t="s">
        <v>32</v>
      </c>
      <c r="G2945" t="s">
        <v>29</v>
      </c>
      <c r="H2945">
        <v>1</v>
      </c>
      <c r="I2945">
        <v>2200</v>
      </c>
    </row>
    <row r="2946" spans="1:9" x14ac:dyDescent="0.3">
      <c r="A2946" s="1">
        <v>46092</v>
      </c>
      <c r="B2946">
        <v>2026</v>
      </c>
      <c r="C2946">
        <v>3</v>
      </c>
      <c r="D2946" t="s">
        <v>40</v>
      </c>
      <c r="E2946" t="s">
        <v>41</v>
      </c>
      <c r="F2946" t="s">
        <v>32</v>
      </c>
      <c r="G2946" t="s">
        <v>29</v>
      </c>
      <c r="H2946">
        <v>1</v>
      </c>
      <c r="I2946">
        <v>2200</v>
      </c>
    </row>
    <row r="2947" spans="1:9" x14ac:dyDescent="0.3">
      <c r="A2947" s="1">
        <v>46203</v>
      </c>
      <c r="B2947">
        <v>2026</v>
      </c>
      <c r="C2947">
        <v>6</v>
      </c>
      <c r="D2947" t="s">
        <v>48</v>
      </c>
      <c r="E2947" t="s">
        <v>43</v>
      </c>
      <c r="F2947" t="s">
        <v>32</v>
      </c>
      <c r="G2947" t="s">
        <v>29</v>
      </c>
      <c r="H2947">
        <v>2</v>
      </c>
      <c r="I2947">
        <v>4400</v>
      </c>
    </row>
    <row r="2948" spans="1:9" x14ac:dyDescent="0.3">
      <c r="A2948" s="1">
        <v>46286</v>
      </c>
      <c r="B2948">
        <v>2026</v>
      </c>
      <c r="C2948">
        <v>9</v>
      </c>
      <c r="D2948" t="s">
        <v>46</v>
      </c>
      <c r="E2948" t="s">
        <v>47</v>
      </c>
      <c r="F2948" t="s">
        <v>32</v>
      </c>
      <c r="G2948" t="s">
        <v>29</v>
      </c>
      <c r="H2948">
        <v>4</v>
      </c>
      <c r="I2948">
        <v>8800</v>
      </c>
    </row>
    <row r="2949" spans="1:9" x14ac:dyDescent="0.3">
      <c r="A2949" s="1">
        <v>46320</v>
      </c>
      <c r="B2949">
        <v>2026</v>
      </c>
      <c r="C2949">
        <v>10</v>
      </c>
      <c r="D2949" t="s">
        <v>40</v>
      </c>
      <c r="E2949" t="s">
        <v>41</v>
      </c>
      <c r="F2949" t="s">
        <v>32</v>
      </c>
      <c r="G2949" t="s">
        <v>29</v>
      </c>
      <c r="H2949">
        <v>3</v>
      </c>
      <c r="I2949">
        <v>6600</v>
      </c>
    </row>
    <row r="2950" spans="1:9" x14ac:dyDescent="0.3">
      <c r="A2950" s="1">
        <v>46130</v>
      </c>
      <c r="B2950">
        <v>2026</v>
      </c>
      <c r="C2950">
        <v>4</v>
      </c>
      <c r="D2950" t="s">
        <v>49</v>
      </c>
      <c r="E2950" t="s">
        <v>47</v>
      </c>
      <c r="F2950" t="s">
        <v>32</v>
      </c>
      <c r="G2950" t="s">
        <v>29</v>
      </c>
      <c r="H2950">
        <v>2</v>
      </c>
      <c r="I2950">
        <v>4400</v>
      </c>
    </row>
    <row r="2951" spans="1:9" x14ac:dyDescent="0.3">
      <c r="A2951" s="1">
        <v>46035</v>
      </c>
      <c r="B2951">
        <v>2026</v>
      </c>
      <c r="C2951">
        <v>1</v>
      </c>
      <c r="D2951" t="s">
        <v>40</v>
      </c>
      <c r="E2951" t="s">
        <v>41</v>
      </c>
      <c r="F2951" t="s">
        <v>32</v>
      </c>
      <c r="G2951" t="s">
        <v>29</v>
      </c>
      <c r="H2951">
        <v>3</v>
      </c>
      <c r="I2951">
        <v>6600</v>
      </c>
    </row>
    <row r="2952" spans="1:9" x14ac:dyDescent="0.3">
      <c r="A2952" s="1">
        <v>46133</v>
      </c>
      <c r="B2952">
        <v>2026</v>
      </c>
      <c r="C2952">
        <v>4</v>
      </c>
      <c r="D2952" t="s">
        <v>49</v>
      </c>
      <c r="E2952" t="s">
        <v>47</v>
      </c>
      <c r="F2952" t="s">
        <v>32</v>
      </c>
      <c r="G2952" t="s">
        <v>29</v>
      </c>
      <c r="H2952">
        <v>5</v>
      </c>
      <c r="I2952">
        <v>11000</v>
      </c>
    </row>
    <row r="2953" spans="1:9" x14ac:dyDescent="0.3">
      <c r="A2953" s="1">
        <v>46095</v>
      </c>
      <c r="B2953">
        <v>2026</v>
      </c>
      <c r="C2953">
        <v>3</v>
      </c>
      <c r="D2953" t="s">
        <v>49</v>
      </c>
      <c r="E2953" t="s">
        <v>47</v>
      </c>
      <c r="F2953" t="s">
        <v>32</v>
      </c>
      <c r="G2953" t="s">
        <v>29</v>
      </c>
      <c r="H2953">
        <v>3</v>
      </c>
      <c r="I2953">
        <v>6600</v>
      </c>
    </row>
    <row r="2954" spans="1:9" x14ac:dyDescent="0.3">
      <c r="A2954" s="1">
        <v>46237</v>
      </c>
      <c r="B2954">
        <v>2026</v>
      </c>
      <c r="C2954">
        <v>8</v>
      </c>
      <c r="D2954" t="s">
        <v>50</v>
      </c>
      <c r="E2954" t="s">
        <v>41</v>
      </c>
      <c r="F2954" t="s">
        <v>32</v>
      </c>
      <c r="G2954" t="s">
        <v>29</v>
      </c>
      <c r="H2954">
        <v>1</v>
      </c>
      <c r="I2954">
        <v>2200</v>
      </c>
    </row>
    <row r="2955" spans="1:9" x14ac:dyDescent="0.3">
      <c r="A2955" s="1">
        <v>46052</v>
      </c>
      <c r="B2955">
        <v>2026</v>
      </c>
      <c r="C2955">
        <v>1</v>
      </c>
      <c r="D2955" t="s">
        <v>48</v>
      </c>
      <c r="E2955" t="s">
        <v>43</v>
      </c>
      <c r="F2955" t="s">
        <v>32</v>
      </c>
      <c r="G2955" t="s">
        <v>29</v>
      </c>
      <c r="H2955">
        <v>1</v>
      </c>
      <c r="I2955">
        <v>2200</v>
      </c>
    </row>
    <row r="2956" spans="1:9" x14ac:dyDescent="0.3">
      <c r="A2956" s="1">
        <v>46266</v>
      </c>
      <c r="B2956">
        <v>2026</v>
      </c>
      <c r="C2956">
        <v>9</v>
      </c>
      <c r="D2956" t="s">
        <v>51</v>
      </c>
      <c r="E2956" t="s">
        <v>45</v>
      </c>
      <c r="F2956" t="s">
        <v>32</v>
      </c>
      <c r="G2956" t="s">
        <v>29</v>
      </c>
      <c r="H2956">
        <v>1</v>
      </c>
      <c r="I2956">
        <v>2200</v>
      </c>
    </row>
    <row r="2957" spans="1:9" x14ac:dyDescent="0.3">
      <c r="A2957" s="1">
        <v>46247</v>
      </c>
      <c r="B2957">
        <v>2026</v>
      </c>
      <c r="C2957">
        <v>8</v>
      </c>
      <c r="D2957" t="s">
        <v>46</v>
      </c>
      <c r="E2957" t="s">
        <v>47</v>
      </c>
      <c r="F2957" t="s">
        <v>32</v>
      </c>
      <c r="G2957" t="s">
        <v>29</v>
      </c>
      <c r="H2957">
        <v>1</v>
      </c>
      <c r="I2957">
        <v>2200</v>
      </c>
    </row>
    <row r="2958" spans="1:9" x14ac:dyDescent="0.3">
      <c r="A2958" s="1">
        <v>46109</v>
      </c>
      <c r="B2958">
        <v>2026</v>
      </c>
      <c r="C2958">
        <v>3</v>
      </c>
      <c r="D2958" t="s">
        <v>51</v>
      </c>
      <c r="E2958" t="s">
        <v>45</v>
      </c>
      <c r="F2958" t="s">
        <v>32</v>
      </c>
      <c r="G2958" t="s">
        <v>29</v>
      </c>
      <c r="H2958">
        <v>2</v>
      </c>
      <c r="I2958">
        <v>4400</v>
      </c>
    </row>
    <row r="2959" spans="1:9" x14ac:dyDescent="0.3">
      <c r="A2959" s="1">
        <v>46186</v>
      </c>
      <c r="B2959">
        <v>2026</v>
      </c>
      <c r="C2959">
        <v>6</v>
      </c>
      <c r="D2959" t="s">
        <v>50</v>
      </c>
      <c r="E2959" t="s">
        <v>41</v>
      </c>
      <c r="F2959" t="s">
        <v>32</v>
      </c>
      <c r="G2959" t="s">
        <v>29</v>
      </c>
      <c r="H2959">
        <v>1</v>
      </c>
      <c r="I2959">
        <v>2200</v>
      </c>
    </row>
    <row r="2960" spans="1:9" x14ac:dyDescent="0.3">
      <c r="A2960" s="1">
        <v>46249</v>
      </c>
      <c r="B2960">
        <v>2026</v>
      </c>
      <c r="C2960">
        <v>8</v>
      </c>
      <c r="D2960" t="s">
        <v>48</v>
      </c>
      <c r="E2960" t="s">
        <v>43</v>
      </c>
      <c r="F2960" t="s">
        <v>32</v>
      </c>
      <c r="G2960" t="s">
        <v>29</v>
      </c>
      <c r="H2960">
        <v>1</v>
      </c>
      <c r="I2960">
        <v>2200</v>
      </c>
    </row>
    <row r="2961" spans="1:9" x14ac:dyDescent="0.3">
      <c r="A2961" s="1">
        <v>46084</v>
      </c>
      <c r="B2961">
        <v>2026</v>
      </c>
      <c r="C2961">
        <v>3</v>
      </c>
      <c r="D2961" t="s">
        <v>50</v>
      </c>
      <c r="E2961" t="s">
        <v>41</v>
      </c>
      <c r="F2961" t="s">
        <v>32</v>
      </c>
      <c r="G2961" t="s">
        <v>29</v>
      </c>
      <c r="H2961">
        <v>5</v>
      </c>
      <c r="I2961">
        <v>11000</v>
      </c>
    </row>
    <row r="2962" spans="1:9" x14ac:dyDescent="0.3">
      <c r="A2962" s="1">
        <v>46049</v>
      </c>
      <c r="B2962">
        <v>2026</v>
      </c>
      <c r="C2962">
        <v>1</v>
      </c>
      <c r="D2962" t="s">
        <v>42</v>
      </c>
      <c r="E2962" t="s">
        <v>43</v>
      </c>
      <c r="F2962" t="s">
        <v>32</v>
      </c>
      <c r="G2962" t="s">
        <v>29</v>
      </c>
      <c r="H2962">
        <v>3</v>
      </c>
      <c r="I2962">
        <v>6600</v>
      </c>
    </row>
    <row r="2963" spans="1:9" x14ac:dyDescent="0.3">
      <c r="A2963" s="1">
        <v>46218</v>
      </c>
      <c r="B2963">
        <v>2026</v>
      </c>
      <c r="C2963">
        <v>7</v>
      </c>
      <c r="D2963" t="s">
        <v>49</v>
      </c>
      <c r="E2963" t="s">
        <v>47</v>
      </c>
      <c r="F2963" t="s">
        <v>32</v>
      </c>
      <c r="G2963" t="s">
        <v>29</v>
      </c>
      <c r="H2963">
        <v>5</v>
      </c>
      <c r="I2963">
        <v>11000</v>
      </c>
    </row>
    <row r="2964" spans="1:9" x14ac:dyDescent="0.3">
      <c r="A2964" s="1">
        <v>46169</v>
      </c>
      <c r="B2964">
        <v>2026</v>
      </c>
      <c r="C2964">
        <v>5</v>
      </c>
      <c r="D2964" t="s">
        <v>42</v>
      </c>
      <c r="E2964" t="s">
        <v>43</v>
      </c>
      <c r="F2964" t="s">
        <v>32</v>
      </c>
      <c r="G2964" t="s">
        <v>29</v>
      </c>
      <c r="H2964">
        <v>3</v>
      </c>
      <c r="I2964">
        <v>6600</v>
      </c>
    </row>
    <row r="2965" spans="1:9" x14ac:dyDescent="0.3">
      <c r="A2965" s="1">
        <v>46273</v>
      </c>
      <c r="B2965">
        <v>2026</v>
      </c>
      <c r="C2965">
        <v>9</v>
      </c>
      <c r="D2965" t="s">
        <v>51</v>
      </c>
      <c r="E2965" t="s">
        <v>45</v>
      </c>
      <c r="F2965" t="s">
        <v>32</v>
      </c>
      <c r="G2965" t="s">
        <v>29</v>
      </c>
      <c r="H2965">
        <v>2</v>
      </c>
      <c r="I2965">
        <v>4400</v>
      </c>
    </row>
    <row r="2966" spans="1:9" x14ac:dyDescent="0.3">
      <c r="A2966" s="1">
        <v>46160</v>
      </c>
      <c r="B2966">
        <v>2026</v>
      </c>
      <c r="C2966">
        <v>5</v>
      </c>
      <c r="D2966" t="s">
        <v>46</v>
      </c>
      <c r="E2966" t="s">
        <v>47</v>
      </c>
      <c r="F2966" t="s">
        <v>32</v>
      </c>
      <c r="G2966" t="s">
        <v>29</v>
      </c>
      <c r="H2966">
        <v>1</v>
      </c>
      <c r="I2966">
        <v>2200</v>
      </c>
    </row>
    <row r="2967" spans="1:9" x14ac:dyDescent="0.3">
      <c r="A2967" s="1">
        <v>46246</v>
      </c>
      <c r="B2967">
        <v>2026</v>
      </c>
      <c r="C2967">
        <v>8</v>
      </c>
      <c r="D2967" t="s">
        <v>46</v>
      </c>
      <c r="E2967" t="s">
        <v>47</v>
      </c>
      <c r="F2967" t="s">
        <v>32</v>
      </c>
      <c r="G2967" t="s">
        <v>29</v>
      </c>
      <c r="H2967">
        <v>3</v>
      </c>
      <c r="I2967">
        <v>6600</v>
      </c>
    </row>
    <row r="2968" spans="1:9" x14ac:dyDescent="0.3">
      <c r="A2968" s="1">
        <v>46112</v>
      </c>
      <c r="B2968">
        <v>2026</v>
      </c>
      <c r="C2968">
        <v>3</v>
      </c>
      <c r="D2968" t="s">
        <v>44</v>
      </c>
      <c r="E2968" t="s">
        <v>45</v>
      </c>
      <c r="F2968" t="s">
        <v>32</v>
      </c>
      <c r="G2968" t="s">
        <v>29</v>
      </c>
      <c r="H2968">
        <v>1</v>
      </c>
      <c r="I2968">
        <v>2200</v>
      </c>
    </row>
    <row r="2969" spans="1:9" x14ac:dyDescent="0.3">
      <c r="A2969" s="1">
        <v>46140</v>
      </c>
      <c r="B2969">
        <v>2026</v>
      </c>
      <c r="C2969">
        <v>4</v>
      </c>
      <c r="D2969" t="s">
        <v>44</v>
      </c>
      <c r="E2969" t="s">
        <v>45</v>
      </c>
      <c r="F2969" t="s">
        <v>32</v>
      </c>
      <c r="G2969" t="s">
        <v>29</v>
      </c>
      <c r="H2969">
        <v>1</v>
      </c>
      <c r="I2969">
        <v>2200</v>
      </c>
    </row>
    <row r="2970" spans="1:9" x14ac:dyDescent="0.3">
      <c r="A2970" s="1">
        <v>46037</v>
      </c>
      <c r="B2970">
        <v>2026</v>
      </c>
      <c r="C2970">
        <v>1</v>
      </c>
      <c r="D2970" t="s">
        <v>51</v>
      </c>
      <c r="E2970" t="s">
        <v>45</v>
      </c>
      <c r="F2970" t="s">
        <v>32</v>
      </c>
      <c r="G2970" t="s">
        <v>29</v>
      </c>
      <c r="H2970">
        <v>1</v>
      </c>
      <c r="I2970">
        <v>2200</v>
      </c>
    </row>
    <row r="2971" spans="1:9" x14ac:dyDescent="0.3">
      <c r="A2971" s="1">
        <v>46319</v>
      </c>
      <c r="B2971">
        <v>2026</v>
      </c>
      <c r="C2971">
        <v>10</v>
      </c>
      <c r="D2971" t="s">
        <v>48</v>
      </c>
      <c r="E2971" t="s">
        <v>43</v>
      </c>
      <c r="F2971" t="s">
        <v>32</v>
      </c>
      <c r="G2971" t="s">
        <v>29</v>
      </c>
      <c r="H2971">
        <v>2</v>
      </c>
      <c r="I2971">
        <v>4400</v>
      </c>
    </row>
    <row r="2972" spans="1:9" x14ac:dyDescent="0.3">
      <c r="A2972" s="1">
        <v>46244</v>
      </c>
      <c r="B2972">
        <v>2026</v>
      </c>
      <c r="C2972">
        <v>8</v>
      </c>
      <c r="D2972" t="s">
        <v>44</v>
      </c>
      <c r="E2972" t="s">
        <v>45</v>
      </c>
      <c r="F2972" t="s">
        <v>32</v>
      </c>
      <c r="G2972" t="s">
        <v>29</v>
      </c>
      <c r="H2972">
        <v>3</v>
      </c>
      <c r="I2972">
        <v>6600</v>
      </c>
    </row>
    <row r="2973" spans="1:9" x14ac:dyDescent="0.3">
      <c r="A2973" s="1">
        <v>46283</v>
      </c>
      <c r="B2973">
        <v>2026</v>
      </c>
      <c r="C2973">
        <v>9</v>
      </c>
      <c r="D2973" t="s">
        <v>49</v>
      </c>
      <c r="E2973" t="s">
        <v>47</v>
      </c>
      <c r="F2973" t="s">
        <v>32</v>
      </c>
      <c r="G2973" t="s">
        <v>29</v>
      </c>
      <c r="H2973">
        <v>1</v>
      </c>
      <c r="I2973">
        <v>2200</v>
      </c>
    </row>
    <row r="2974" spans="1:9" x14ac:dyDescent="0.3">
      <c r="A2974" s="1">
        <v>46227</v>
      </c>
      <c r="B2974">
        <v>2026</v>
      </c>
      <c r="C2974">
        <v>7</v>
      </c>
      <c r="D2974" t="s">
        <v>40</v>
      </c>
      <c r="E2974" t="s">
        <v>41</v>
      </c>
      <c r="F2974" t="s">
        <v>32</v>
      </c>
      <c r="G2974" t="s">
        <v>29</v>
      </c>
      <c r="H2974">
        <v>1</v>
      </c>
      <c r="I2974">
        <v>2200</v>
      </c>
    </row>
    <row r="2975" spans="1:9" x14ac:dyDescent="0.3">
      <c r="A2975" s="1">
        <v>46121</v>
      </c>
      <c r="B2975">
        <v>2026</v>
      </c>
      <c r="C2975">
        <v>4</v>
      </c>
      <c r="D2975" t="s">
        <v>46</v>
      </c>
      <c r="E2975" t="s">
        <v>47</v>
      </c>
      <c r="F2975" t="s">
        <v>32</v>
      </c>
      <c r="G2975" t="s">
        <v>29</v>
      </c>
      <c r="H2975">
        <v>3</v>
      </c>
      <c r="I2975">
        <v>6600</v>
      </c>
    </row>
    <row r="2976" spans="1:9" x14ac:dyDescent="0.3">
      <c r="A2976" s="1">
        <v>46290</v>
      </c>
      <c r="B2976">
        <v>2026</v>
      </c>
      <c r="C2976">
        <v>9</v>
      </c>
      <c r="D2976" t="s">
        <v>42</v>
      </c>
      <c r="E2976" t="s">
        <v>43</v>
      </c>
      <c r="F2976" t="s">
        <v>32</v>
      </c>
      <c r="G2976" t="s">
        <v>29</v>
      </c>
      <c r="H2976">
        <v>2</v>
      </c>
      <c r="I2976">
        <v>4400</v>
      </c>
    </row>
    <row r="2977" spans="1:9" x14ac:dyDescent="0.3">
      <c r="A2977" s="1">
        <v>46211</v>
      </c>
      <c r="B2977">
        <v>2026</v>
      </c>
      <c r="C2977">
        <v>7</v>
      </c>
      <c r="D2977" t="s">
        <v>48</v>
      </c>
      <c r="E2977" t="s">
        <v>43</v>
      </c>
      <c r="F2977" t="s">
        <v>32</v>
      </c>
      <c r="G2977" t="s">
        <v>29</v>
      </c>
      <c r="H2977">
        <v>3</v>
      </c>
      <c r="I2977">
        <v>6600</v>
      </c>
    </row>
    <row r="2978" spans="1:9" x14ac:dyDescent="0.3">
      <c r="A2978" s="1">
        <v>46276</v>
      </c>
      <c r="B2978">
        <v>2026</v>
      </c>
      <c r="C2978">
        <v>9</v>
      </c>
      <c r="D2978" t="s">
        <v>42</v>
      </c>
      <c r="E2978" t="s">
        <v>43</v>
      </c>
      <c r="F2978" t="s">
        <v>32</v>
      </c>
      <c r="G2978" t="s">
        <v>29</v>
      </c>
      <c r="H2978">
        <v>4</v>
      </c>
      <c r="I2978">
        <v>8800</v>
      </c>
    </row>
    <row r="2979" spans="1:9" x14ac:dyDescent="0.3">
      <c r="A2979" s="1">
        <v>46140</v>
      </c>
      <c r="B2979">
        <v>2026</v>
      </c>
      <c r="C2979">
        <v>4</v>
      </c>
      <c r="D2979" t="s">
        <v>46</v>
      </c>
      <c r="E2979" t="s">
        <v>47</v>
      </c>
      <c r="F2979" t="s">
        <v>32</v>
      </c>
      <c r="G2979" t="s">
        <v>29</v>
      </c>
      <c r="H2979">
        <v>1</v>
      </c>
      <c r="I2979">
        <v>2200</v>
      </c>
    </row>
    <row r="2980" spans="1:9" x14ac:dyDescent="0.3">
      <c r="A2980" s="1">
        <v>46081</v>
      </c>
      <c r="B2980">
        <v>2026</v>
      </c>
      <c r="C2980">
        <v>2</v>
      </c>
      <c r="D2980" t="s">
        <v>46</v>
      </c>
      <c r="E2980" t="s">
        <v>47</v>
      </c>
      <c r="F2980" t="s">
        <v>32</v>
      </c>
      <c r="G2980" t="s">
        <v>29</v>
      </c>
      <c r="H2980">
        <v>1</v>
      </c>
      <c r="I2980">
        <v>2200</v>
      </c>
    </row>
    <row r="2981" spans="1:9" x14ac:dyDescent="0.3">
      <c r="A2981" s="1">
        <v>46070</v>
      </c>
      <c r="B2981">
        <v>2026</v>
      </c>
      <c r="C2981">
        <v>2</v>
      </c>
      <c r="D2981" t="s">
        <v>48</v>
      </c>
      <c r="E2981" t="s">
        <v>43</v>
      </c>
      <c r="F2981" t="s">
        <v>32</v>
      </c>
      <c r="G2981" t="s">
        <v>29</v>
      </c>
      <c r="H2981">
        <v>2</v>
      </c>
      <c r="I2981">
        <v>4400</v>
      </c>
    </row>
    <row r="2982" spans="1:9" x14ac:dyDescent="0.3">
      <c r="A2982" s="1">
        <v>46211</v>
      </c>
      <c r="B2982">
        <v>2026</v>
      </c>
      <c r="C2982">
        <v>7</v>
      </c>
      <c r="D2982" t="s">
        <v>42</v>
      </c>
      <c r="E2982" t="s">
        <v>43</v>
      </c>
      <c r="F2982" t="s">
        <v>32</v>
      </c>
      <c r="G2982" t="s">
        <v>29</v>
      </c>
      <c r="H2982">
        <v>5</v>
      </c>
      <c r="I2982">
        <v>11000</v>
      </c>
    </row>
    <row r="2983" spans="1:9" x14ac:dyDescent="0.3">
      <c r="A2983" s="1">
        <v>46044</v>
      </c>
      <c r="B2983">
        <v>2026</v>
      </c>
      <c r="C2983">
        <v>1</v>
      </c>
      <c r="D2983" t="s">
        <v>42</v>
      </c>
      <c r="E2983" t="s">
        <v>43</v>
      </c>
      <c r="F2983" t="s">
        <v>32</v>
      </c>
      <c r="G2983" t="s">
        <v>29</v>
      </c>
      <c r="H2983">
        <v>3</v>
      </c>
      <c r="I2983">
        <v>6600</v>
      </c>
    </row>
    <row r="2984" spans="1:9" x14ac:dyDescent="0.3">
      <c r="A2984" s="1">
        <v>46309</v>
      </c>
      <c r="B2984">
        <v>2026</v>
      </c>
      <c r="C2984">
        <v>10</v>
      </c>
      <c r="D2984" t="s">
        <v>44</v>
      </c>
      <c r="E2984" t="s">
        <v>45</v>
      </c>
      <c r="F2984" t="s">
        <v>32</v>
      </c>
      <c r="G2984" t="s">
        <v>29</v>
      </c>
      <c r="H2984">
        <v>2</v>
      </c>
      <c r="I2984">
        <v>4400</v>
      </c>
    </row>
    <row r="2985" spans="1:9" x14ac:dyDescent="0.3">
      <c r="A2985" s="1">
        <v>46196</v>
      </c>
      <c r="B2985">
        <v>2026</v>
      </c>
      <c r="C2985">
        <v>6</v>
      </c>
      <c r="D2985" t="s">
        <v>44</v>
      </c>
      <c r="E2985" t="s">
        <v>45</v>
      </c>
      <c r="F2985" t="s">
        <v>32</v>
      </c>
      <c r="G2985" t="s">
        <v>29</v>
      </c>
      <c r="H2985">
        <v>4</v>
      </c>
      <c r="I2985">
        <v>8800</v>
      </c>
    </row>
    <row r="2986" spans="1:9" x14ac:dyDescent="0.3">
      <c r="A2986" s="1">
        <v>46089</v>
      </c>
      <c r="B2986">
        <v>2026</v>
      </c>
      <c r="C2986">
        <v>3</v>
      </c>
      <c r="D2986" t="s">
        <v>46</v>
      </c>
      <c r="E2986" t="s">
        <v>47</v>
      </c>
      <c r="F2986" t="s">
        <v>32</v>
      </c>
      <c r="G2986" t="s">
        <v>29</v>
      </c>
      <c r="H2986">
        <v>4</v>
      </c>
      <c r="I2986">
        <v>8800</v>
      </c>
    </row>
    <row r="2987" spans="1:9" x14ac:dyDescent="0.3">
      <c r="A2987" s="1">
        <v>46256</v>
      </c>
      <c r="B2987">
        <v>2026</v>
      </c>
      <c r="C2987">
        <v>8</v>
      </c>
      <c r="D2987" t="s">
        <v>50</v>
      </c>
      <c r="E2987" t="s">
        <v>41</v>
      </c>
      <c r="F2987" t="s">
        <v>32</v>
      </c>
      <c r="G2987" t="s">
        <v>29</v>
      </c>
      <c r="H2987">
        <v>5</v>
      </c>
      <c r="I2987">
        <v>11000</v>
      </c>
    </row>
    <row r="2988" spans="1:9" x14ac:dyDescent="0.3">
      <c r="A2988" s="1">
        <v>46179</v>
      </c>
      <c r="B2988">
        <v>2026</v>
      </c>
      <c r="C2988">
        <v>6</v>
      </c>
      <c r="D2988" t="s">
        <v>48</v>
      </c>
      <c r="E2988" t="s">
        <v>43</v>
      </c>
      <c r="F2988" t="s">
        <v>32</v>
      </c>
      <c r="G2988" t="s">
        <v>29</v>
      </c>
      <c r="H2988">
        <v>4</v>
      </c>
      <c r="I2988">
        <v>8800</v>
      </c>
    </row>
    <row r="2989" spans="1:9" x14ac:dyDescent="0.3">
      <c r="A2989" s="1">
        <v>46302</v>
      </c>
      <c r="B2989">
        <v>2026</v>
      </c>
      <c r="C2989">
        <v>10</v>
      </c>
      <c r="D2989" t="s">
        <v>46</v>
      </c>
      <c r="E2989" t="s">
        <v>47</v>
      </c>
      <c r="F2989" t="s">
        <v>32</v>
      </c>
      <c r="G2989" t="s">
        <v>29</v>
      </c>
      <c r="H2989">
        <v>5</v>
      </c>
      <c r="I2989">
        <v>11000</v>
      </c>
    </row>
    <row r="2990" spans="1:9" x14ac:dyDescent="0.3">
      <c r="A2990" s="1">
        <v>46081</v>
      </c>
      <c r="B2990">
        <v>2026</v>
      </c>
      <c r="C2990">
        <v>2</v>
      </c>
      <c r="D2990" t="s">
        <v>49</v>
      </c>
      <c r="E2990" t="s">
        <v>47</v>
      </c>
      <c r="F2990" t="s">
        <v>32</v>
      </c>
      <c r="G2990" t="s">
        <v>29</v>
      </c>
      <c r="H2990">
        <v>4</v>
      </c>
      <c r="I2990">
        <v>8800</v>
      </c>
    </row>
    <row r="2991" spans="1:9" x14ac:dyDescent="0.3">
      <c r="A2991" s="1">
        <v>46063</v>
      </c>
      <c r="B2991">
        <v>2026</v>
      </c>
      <c r="C2991">
        <v>2</v>
      </c>
      <c r="D2991" t="s">
        <v>51</v>
      </c>
      <c r="E2991" t="s">
        <v>45</v>
      </c>
      <c r="F2991" t="s">
        <v>32</v>
      </c>
      <c r="G2991" t="s">
        <v>29</v>
      </c>
      <c r="H2991">
        <v>2</v>
      </c>
      <c r="I2991">
        <v>4400</v>
      </c>
    </row>
    <row r="2992" spans="1:9" x14ac:dyDescent="0.3">
      <c r="A2992" s="1">
        <v>46271</v>
      </c>
      <c r="B2992">
        <v>2026</v>
      </c>
      <c r="C2992">
        <v>9</v>
      </c>
      <c r="D2992" t="s">
        <v>46</v>
      </c>
      <c r="E2992" t="s">
        <v>47</v>
      </c>
      <c r="F2992" t="s">
        <v>32</v>
      </c>
      <c r="G2992" t="s">
        <v>29</v>
      </c>
      <c r="H2992">
        <v>2</v>
      </c>
      <c r="I2992">
        <v>4400</v>
      </c>
    </row>
    <row r="2993" spans="1:9" x14ac:dyDescent="0.3">
      <c r="A2993" s="1">
        <v>46025</v>
      </c>
      <c r="B2993">
        <v>2026</v>
      </c>
      <c r="C2993">
        <v>1</v>
      </c>
      <c r="D2993" t="s">
        <v>44</v>
      </c>
      <c r="E2993" t="s">
        <v>45</v>
      </c>
      <c r="F2993" t="s">
        <v>32</v>
      </c>
      <c r="G2993" t="s">
        <v>29</v>
      </c>
      <c r="H2993">
        <v>4</v>
      </c>
      <c r="I2993">
        <v>8800</v>
      </c>
    </row>
    <row r="2994" spans="1:9" x14ac:dyDescent="0.3">
      <c r="A2994" s="1">
        <v>46060</v>
      </c>
      <c r="B2994">
        <v>2026</v>
      </c>
      <c r="C2994">
        <v>2</v>
      </c>
      <c r="D2994" t="s">
        <v>51</v>
      </c>
      <c r="E2994" t="s">
        <v>45</v>
      </c>
      <c r="F2994" t="s">
        <v>32</v>
      </c>
      <c r="G2994" t="s">
        <v>29</v>
      </c>
      <c r="H2994">
        <v>4</v>
      </c>
      <c r="I2994">
        <v>8800</v>
      </c>
    </row>
    <row r="2995" spans="1:9" x14ac:dyDescent="0.3">
      <c r="A2995" s="1">
        <v>46104</v>
      </c>
      <c r="B2995">
        <v>2026</v>
      </c>
      <c r="C2995">
        <v>3</v>
      </c>
      <c r="D2995" t="s">
        <v>44</v>
      </c>
      <c r="E2995" t="s">
        <v>45</v>
      </c>
      <c r="F2995" t="s">
        <v>32</v>
      </c>
      <c r="G2995" t="s">
        <v>29</v>
      </c>
      <c r="H2995">
        <v>5</v>
      </c>
      <c r="I2995">
        <v>11000</v>
      </c>
    </row>
    <row r="2996" spans="1:9" x14ac:dyDescent="0.3">
      <c r="A2996" s="1">
        <v>46051</v>
      </c>
      <c r="B2996">
        <v>2026</v>
      </c>
      <c r="C2996">
        <v>1</v>
      </c>
      <c r="D2996" t="s">
        <v>44</v>
      </c>
      <c r="E2996" t="s">
        <v>45</v>
      </c>
      <c r="F2996" t="s">
        <v>32</v>
      </c>
      <c r="G2996" t="s">
        <v>29</v>
      </c>
      <c r="H2996">
        <v>5</v>
      </c>
      <c r="I2996">
        <v>11000</v>
      </c>
    </row>
    <row r="2997" spans="1:9" x14ac:dyDescent="0.3">
      <c r="A2997" s="1">
        <v>46116</v>
      </c>
      <c r="B2997">
        <v>2026</v>
      </c>
      <c r="C2997">
        <v>4</v>
      </c>
      <c r="D2997" t="s">
        <v>49</v>
      </c>
      <c r="E2997" t="s">
        <v>47</v>
      </c>
      <c r="F2997" t="s">
        <v>32</v>
      </c>
      <c r="G2997" t="s">
        <v>29</v>
      </c>
      <c r="H2997">
        <v>2</v>
      </c>
      <c r="I2997">
        <v>4400</v>
      </c>
    </row>
    <row r="2998" spans="1:9" x14ac:dyDescent="0.3">
      <c r="A2998" s="1">
        <v>46043</v>
      </c>
      <c r="B2998">
        <v>2026</v>
      </c>
      <c r="C2998">
        <v>1</v>
      </c>
      <c r="D2998" t="s">
        <v>44</v>
      </c>
      <c r="E2998" t="s">
        <v>45</v>
      </c>
      <c r="F2998" t="s">
        <v>32</v>
      </c>
      <c r="G2998" t="s">
        <v>29</v>
      </c>
      <c r="H2998">
        <v>4</v>
      </c>
      <c r="I2998">
        <v>8800</v>
      </c>
    </row>
    <row r="2999" spans="1:9" x14ac:dyDescent="0.3">
      <c r="A2999" s="1">
        <v>46025</v>
      </c>
      <c r="B2999">
        <v>2026</v>
      </c>
      <c r="C2999">
        <v>1</v>
      </c>
      <c r="D2999" t="s">
        <v>46</v>
      </c>
      <c r="E2999" t="s">
        <v>47</v>
      </c>
      <c r="F2999" t="s">
        <v>32</v>
      </c>
      <c r="G2999" t="s">
        <v>29</v>
      </c>
      <c r="H2999">
        <v>2</v>
      </c>
      <c r="I2999">
        <v>4400</v>
      </c>
    </row>
    <row r="3000" spans="1:9" x14ac:dyDescent="0.3">
      <c r="A3000" s="1">
        <v>46220</v>
      </c>
      <c r="B3000">
        <v>2026</v>
      </c>
      <c r="C3000">
        <v>7</v>
      </c>
      <c r="D3000" t="s">
        <v>40</v>
      </c>
      <c r="E3000" t="s">
        <v>41</v>
      </c>
      <c r="F3000" t="s">
        <v>32</v>
      </c>
      <c r="G3000" t="s">
        <v>29</v>
      </c>
      <c r="H3000">
        <v>5</v>
      </c>
      <c r="I3000">
        <v>11000</v>
      </c>
    </row>
    <row r="3001" spans="1:9" x14ac:dyDescent="0.3">
      <c r="A3001" s="1">
        <v>46159</v>
      </c>
      <c r="B3001">
        <v>2026</v>
      </c>
      <c r="C3001">
        <v>5</v>
      </c>
      <c r="D3001" t="s">
        <v>42</v>
      </c>
      <c r="E3001" t="s">
        <v>43</v>
      </c>
      <c r="F3001" t="s">
        <v>32</v>
      </c>
      <c r="G3001" t="s">
        <v>29</v>
      </c>
      <c r="H3001">
        <v>3</v>
      </c>
      <c r="I3001">
        <v>6600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C960-C0FB-4B13-BB72-571A51BA449A}">
  <sheetPr codeName="Sheet7"/>
  <dimension ref="A1:H81"/>
  <sheetViews>
    <sheetView topLeftCell="P1" workbookViewId="0">
      <pane ySplit="1" topLeftCell="A2" activePane="bottomLeft" state="frozen"/>
      <selection pane="bottomLeft" activeCell="A2" sqref="A2"/>
    </sheetView>
  </sheetViews>
  <sheetFormatPr defaultRowHeight="14.4" x14ac:dyDescent="0.3"/>
  <cols>
    <col min="1" max="1" width="13" bestFit="1" customWidth="1"/>
    <col min="2" max="2" width="8.5546875" bestFit="1" customWidth="1"/>
    <col min="3" max="3" width="12.88671875" bestFit="1" customWidth="1"/>
    <col min="4" max="4" width="14.88671875" bestFit="1" customWidth="1"/>
    <col min="5" max="5" width="16" bestFit="1" customWidth="1"/>
    <col min="6" max="6" width="16.109375" bestFit="1" customWidth="1"/>
    <col min="7" max="7" width="17.88671875" bestFit="1" customWidth="1"/>
    <col min="8" max="8" width="10.33203125" bestFit="1" customWidth="1"/>
  </cols>
  <sheetData>
    <row r="1" spans="1:8" x14ac:dyDescent="0.3">
      <c r="A1" t="s">
        <v>36</v>
      </c>
      <c r="B1" t="s">
        <v>37</v>
      </c>
      <c r="C1" t="s">
        <v>52</v>
      </c>
      <c r="D1" t="s">
        <v>53</v>
      </c>
      <c r="E1" t="s">
        <v>54</v>
      </c>
      <c r="F1" t="s">
        <v>55</v>
      </c>
      <c r="G1" t="s">
        <v>56</v>
      </c>
      <c r="H1" t="s">
        <v>57</v>
      </c>
    </row>
    <row r="2" spans="1:8" x14ac:dyDescent="0.3">
      <c r="A2" t="s">
        <v>48</v>
      </c>
      <c r="B2" t="s">
        <v>43</v>
      </c>
      <c r="C2">
        <v>2026</v>
      </c>
      <c r="D2">
        <v>1</v>
      </c>
      <c r="E2">
        <v>1566000</v>
      </c>
      <c r="F2">
        <v>1691400</v>
      </c>
      <c r="G2">
        <v>108</v>
      </c>
      <c r="H2" t="s">
        <v>58</v>
      </c>
    </row>
    <row r="3" spans="1:8" x14ac:dyDescent="0.3">
      <c r="A3" t="s">
        <v>51</v>
      </c>
      <c r="B3" t="s">
        <v>45</v>
      </c>
      <c r="C3">
        <v>2026</v>
      </c>
      <c r="D3">
        <v>7</v>
      </c>
      <c r="E3">
        <v>1525000</v>
      </c>
      <c r="F3">
        <v>1354000</v>
      </c>
      <c r="G3">
        <v>88.8</v>
      </c>
      <c r="H3" t="s">
        <v>59</v>
      </c>
    </row>
    <row r="4" spans="1:8" x14ac:dyDescent="0.3">
      <c r="A4" t="s">
        <v>46</v>
      </c>
      <c r="B4" t="s">
        <v>47</v>
      </c>
      <c r="C4">
        <v>2026</v>
      </c>
      <c r="D4">
        <v>5</v>
      </c>
      <c r="E4">
        <v>1379000</v>
      </c>
      <c r="F4">
        <v>1207500</v>
      </c>
      <c r="G4">
        <v>87.6</v>
      </c>
      <c r="H4" t="s">
        <v>59</v>
      </c>
    </row>
    <row r="5" spans="1:8" x14ac:dyDescent="0.3">
      <c r="A5" t="s">
        <v>48</v>
      </c>
      <c r="B5" t="s">
        <v>43</v>
      </c>
      <c r="C5">
        <v>2026</v>
      </c>
      <c r="D5">
        <v>3</v>
      </c>
      <c r="E5">
        <v>968000</v>
      </c>
      <c r="F5">
        <v>1091300</v>
      </c>
      <c r="G5">
        <v>112.7</v>
      </c>
      <c r="H5" t="s">
        <v>58</v>
      </c>
    </row>
    <row r="6" spans="1:8" x14ac:dyDescent="0.3">
      <c r="A6" t="s">
        <v>50</v>
      </c>
      <c r="B6" t="s">
        <v>41</v>
      </c>
      <c r="C6">
        <v>2026</v>
      </c>
      <c r="D6">
        <v>4</v>
      </c>
      <c r="E6">
        <v>1049000</v>
      </c>
      <c r="F6">
        <v>1070500</v>
      </c>
      <c r="G6">
        <v>102</v>
      </c>
      <c r="H6" t="s">
        <v>58</v>
      </c>
    </row>
    <row r="7" spans="1:8" x14ac:dyDescent="0.3">
      <c r="A7" t="s">
        <v>50</v>
      </c>
      <c r="B7" t="s">
        <v>41</v>
      </c>
      <c r="C7">
        <v>2026</v>
      </c>
      <c r="D7">
        <v>8</v>
      </c>
      <c r="E7">
        <v>1777000</v>
      </c>
      <c r="F7">
        <v>1790600</v>
      </c>
      <c r="G7">
        <v>100.8</v>
      </c>
      <c r="H7" t="s">
        <v>58</v>
      </c>
    </row>
    <row r="8" spans="1:8" x14ac:dyDescent="0.3">
      <c r="A8" t="s">
        <v>44</v>
      </c>
      <c r="B8" t="s">
        <v>45</v>
      </c>
      <c r="C8">
        <v>2026</v>
      </c>
      <c r="D8">
        <v>1</v>
      </c>
      <c r="E8">
        <v>919000</v>
      </c>
      <c r="F8">
        <v>1124200</v>
      </c>
      <c r="G8">
        <v>122.3</v>
      </c>
      <c r="H8" t="s">
        <v>58</v>
      </c>
    </row>
    <row r="9" spans="1:8" x14ac:dyDescent="0.3">
      <c r="A9" t="s">
        <v>49</v>
      </c>
      <c r="B9" t="s">
        <v>47</v>
      </c>
      <c r="C9">
        <v>2026</v>
      </c>
      <c r="D9">
        <v>8</v>
      </c>
      <c r="E9">
        <v>1532000</v>
      </c>
      <c r="F9">
        <v>1828400</v>
      </c>
      <c r="G9">
        <v>119.3</v>
      </c>
      <c r="H9" t="s">
        <v>58</v>
      </c>
    </row>
    <row r="10" spans="1:8" x14ac:dyDescent="0.3">
      <c r="A10" t="s">
        <v>40</v>
      </c>
      <c r="B10" t="s">
        <v>41</v>
      </c>
      <c r="C10">
        <v>2026</v>
      </c>
      <c r="D10">
        <v>10</v>
      </c>
      <c r="E10">
        <v>1816000</v>
      </c>
      <c r="F10">
        <v>1625400</v>
      </c>
      <c r="G10">
        <v>89.5</v>
      </c>
      <c r="H10" t="s">
        <v>59</v>
      </c>
    </row>
    <row r="11" spans="1:8" x14ac:dyDescent="0.3">
      <c r="A11" t="s">
        <v>51</v>
      </c>
      <c r="B11" t="s">
        <v>45</v>
      </c>
      <c r="C11">
        <v>2026</v>
      </c>
      <c r="D11">
        <v>1</v>
      </c>
      <c r="E11">
        <v>1549000</v>
      </c>
      <c r="F11">
        <v>1851000</v>
      </c>
      <c r="G11">
        <v>119.5</v>
      </c>
      <c r="H11" t="s">
        <v>58</v>
      </c>
    </row>
    <row r="12" spans="1:8" x14ac:dyDescent="0.3">
      <c r="A12" t="s">
        <v>49</v>
      </c>
      <c r="B12" t="s">
        <v>47</v>
      </c>
      <c r="C12">
        <v>2026</v>
      </c>
      <c r="D12">
        <v>7</v>
      </c>
      <c r="E12">
        <v>1155000</v>
      </c>
      <c r="F12">
        <v>1225400</v>
      </c>
      <c r="G12">
        <v>106.1</v>
      </c>
      <c r="H12" t="s">
        <v>58</v>
      </c>
    </row>
    <row r="13" spans="1:8" x14ac:dyDescent="0.3">
      <c r="A13" t="s">
        <v>48</v>
      </c>
      <c r="B13" t="s">
        <v>43</v>
      </c>
      <c r="C13">
        <v>2026</v>
      </c>
      <c r="D13">
        <v>6</v>
      </c>
      <c r="E13">
        <v>1840000</v>
      </c>
      <c r="F13">
        <v>1590600</v>
      </c>
      <c r="G13">
        <v>86.4</v>
      </c>
      <c r="H13" t="s">
        <v>59</v>
      </c>
    </row>
    <row r="14" spans="1:8" x14ac:dyDescent="0.3">
      <c r="A14" t="s">
        <v>48</v>
      </c>
      <c r="B14" t="s">
        <v>43</v>
      </c>
      <c r="C14">
        <v>2026</v>
      </c>
      <c r="D14">
        <v>8</v>
      </c>
      <c r="E14">
        <v>1236000</v>
      </c>
      <c r="F14">
        <v>1450400</v>
      </c>
      <c r="G14">
        <v>117.3</v>
      </c>
      <c r="H14" t="s">
        <v>58</v>
      </c>
    </row>
    <row r="15" spans="1:8" x14ac:dyDescent="0.3">
      <c r="A15" t="s">
        <v>48</v>
      </c>
      <c r="B15" t="s">
        <v>43</v>
      </c>
      <c r="C15">
        <v>2026</v>
      </c>
      <c r="D15">
        <v>9</v>
      </c>
      <c r="E15">
        <v>1137000</v>
      </c>
      <c r="F15">
        <v>1242700</v>
      </c>
      <c r="G15">
        <v>109.3</v>
      </c>
      <c r="H15" t="s">
        <v>58</v>
      </c>
    </row>
    <row r="16" spans="1:8" x14ac:dyDescent="0.3">
      <c r="A16" t="s">
        <v>48</v>
      </c>
      <c r="B16" t="s">
        <v>43</v>
      </c>
      <c r="C16">
        <v>2026</v>
      </c>
      <c r="D16">
        <v>10</v>
      </c>
      <c r="E16">
        <v>1476000</v>
      </c>
      <c r="F16">
        <v>1301200</v>
      </c>
      <c r="G16">
        <v>88.2</v>
      </c>
      <c r="H16" t="s">
        <v>59</v>
      </c>
    </row>
    <row r="17" spans="1:8" x14ac:dyDescent="0.3">
      <c r="A17" t="s">
        <v>44</v>
      </c>
      <c r="B17" t="s">
        <v>45</v>
      </c>
      <c r="C17">
        <v>2026</v>
      </c>
      <c r="D17">
        <v>3</v>
      </c>
      <c r="E17">
        <v>748000</v>
      </c>
      <c r="F17">
        <v>783500</v>
      </c>
      <c r="G17">
        <v>104.7</v>
      </c>
      <c r="H17" t="s">
        <v>58</v>
      </c>
    </row>
    <row r="18" spans="1:8" x14ac:dyDescent="0.3">
      <c r="A18" t="s">
        <v>44</v>
      </c>
      <c r="B18" t="s">
        <v>45</v>
      </c>
      <c r="C18">
        <v>2026</v>
      </c>
      <c r="D18">
        <v>5</v>
      </c>
      <c r="E18">
        <v>940000</v>
      </c>
      <c r="F18">
        <v>1123600</v>
      </c>
      <c r="G18">
        <v>119.5</v>
      </c>
      <c r="H18" t="s">
        <v>58</v>
      </c>
    </row>
    <row r="19" spans="1:8" x14ac:dyDescent="0.3">
      <c r="A19" t="s">
        <v>46</v>
      </c>
      <c r="B19" t="s">
        <v>47</v>
      </c>
      <c r="C19">
        <v>2026</v>
      </c>
      <c r="D19">
        <v>2</v>
      </c>
      <c r="E19">
        <v>644000</v>
      </c>
      <c r="F19">
        <v>727500</v>
      </c>
      <c r="G19">
        <v>113</v>
      </c>
      <c r="H19" t="s">
        <v>58</v>
      </c>
    </row>
    <row r="20" spans="1:8" x14ac:dyDescent="0.3">
      <c r="A20" t="s">
        <v>44</v>
      </c>
      <c r="B20" t="s">
        <v>45</v>
      </c>
      <c r="C20">
        <v>2026</v>
      </c>
      <c r="D20">
        <v>2</v>
      </c>
      <c r="E20">
        <v>788000</v>
      </c>
      <c r="F20">
        <v>851000</v>
      </c>
      <c r="G20">
        <v>108</v>
      </c>
      <c r="H20" t="s">
        <v>58</v>
      </c>
    </row>
    <row r="21" spans="1:8" x14ac:dyDescent="0.3">
      <c r="A21" t="s">
        <v>48</v>
      </c>
      <c r="B21" t="s">
        <v>43</v>
      </c>
      <c r="C21">
        <v>2026</v>
      </c>
      <c r="D21">
        <v>4</v>
      </c>
      <c r="E21">
        <v>1324000</v>
      </c>
      <c r="F21">
        <v>1544000</v>
      </c>
      <c r="G21">
        <v>116.6</v>
      </c>
      <c r="H21" t="s">
        <v>58</v>
      </c>
    </row>
    <row r="22" spans="1:8" x14ac:dyDescent="0.3">
      <c r="A22" t="s">
        <v>49</v>
      </c>
      <c r="B22" t="s">
        <v>47</v>
      </c>
      <c r="C22">
        <v>2026</v>
      </c>
      <c r="D22">
        <v>9</v>
      </c>
      <c r="E22">
        <v>1207000</v>
      </c>
      <c r="F22">
        <v>1049600</v>
      </c>
      <c r="G22">
        <v>87</v>
      </c>
      <c r="H22" t="s">
        <v>59</v>
      </c>
    </row>
    <row r="23" spans="1:8" x14ac:dyDescent="0.3">
      <c r="A23" t="s">
        <v>46</v>
      </c>
      <c r="B23" t="s">
        <v>47</v>
      </c>
      <c r="C23">
        <v>2026</v>
      </c>
      <c r="D23">
        <v>9</v>
      </c>
      <c r="E23">
        <v>733000</v>
      </c>
      <c r="F23">
        <v>911700</v>
      </c>
      <c r="G23">
        <v>124.4</v>
      </c>
      <c r="H23" t="s">
        <v>58</v>
      </c>
    </row>
    <row r="24" spans="1:8" x14ac:dyDescent="0.3">
      <c r="A24" t="s">
        <v>40</v>
      </c>
      <c r="B24" t="s">
        <v>41</v>
      </c>
      <c r="C24">
        <v>2026</v>
      </c>
      <c r="D24">
        <v>5</v>
      </c>
      <c r="E24">
        <v>1374000</v>
      </c>
      <c r="F24">
        <v>1500700</v>
      </c>
      <c r="G24">
        <v>109.2</v>
      </c>
      <c r="H24" t="s">
        <v>58</v>
      </c>
    </row>
    <row r="25" spans="1:8" x14ac:dyDescent="0.3">
      <c r="A25" t="s">
        <v>50</v>
      </c>
      <c r="B25" t="s">
        <v>41</v>
      </c>
      <c r="C25">
        <v>2026</v>
      </c>
      <c r="D25">
        <v>3</v>
      </c>
      <c r="E25">
        <v>1800000</v>
      </c>
      <c r="F25">
        <v>1710900</v>
      </c>
      <c r="G25">
        <v>95.1</v>
      </c>
      <c r="H25" t="s">
        <v>59</v>
      </c>
    </row>
    <row r="26" spans="1:8" x14ac:dyDescent="0.3">
      <c r="A26" t="s">
        <v>44</v>
      </c>
      <c r="B26" t="s">
        <v>45</v>
      </c>
      <c r="C26">
        <v>2026</v>
      </c>
      <c r="D26">
        <v>7</v>
      </c>
      <c r="E26">
        <v>1107000</v>
      </c>
      <c r="F26">
        <v>1145600</v>
      </c>
      <c r="G26">
        <v>103.5</v>
      </c>
      <c r="H26" t="s">
        <v>58</v>
      </c>
    </row>
    <row r="27" spans="1:8" x14ac:dyDescent="0.3">
      <c r="A27" t="s">
        <v>51</v>
      </c>
      <c r="B27" t="s">
        <v>45</v>
      </c>
      <c r="C27">
        <v>2026</v>
      </c>
      <c r="D27">
        <v>3</v>
      </c>
      <c r="E27">
        <v>1022000</v>
      </c>
      <c r="F27">
        <v>1128000</v>
      </c>
      <c r="G27">
        <v>110.4</v>
      </c>
      <c r="H27" t="s">
        <v>58</v>
      </c>
    </row>
    <row r="28" spans="1:8" x14ac:dyDescent="0.3">
      <c r="A28" t="s">
        <v>40</v>
      </c>
      <c r="B28" t="s">
        <v>41</v>
      </c>
      <c r="C28">
        <v>2026</v>
      </c>
      <c r="D28">
        <v>1</v>
      </c>
      <c r="E28">
        <v>1458000</v>
      </c>
      <c r="F28">
        <v>1260800</v>
      </c>
      <c r="G28">
        <v>86.5</v>
      </c>
      <c r="H28" t="s">
        <v>59</v>
      </c>
    </row>
    <row r="29" spans="1:8" x14ac:dyDescent="0.3">
      <c r="A29" t="s">
        <v>51</v>
      </c>
      <c r="B29" t="s">
        <v>45</v>
      </c>
      <c r="C29">
        <v>2026</v>
      </c>
      <c r="D29">
        <v>2</v>
      </c>
      <c r="E29">
        <v>917000</v>
      </c>
      <c r="F29">
        <v>1144400</v>
      </c>
      <c r="G29">
        <v>124.8</v>
      </c>
      <c r="H29" t="s">
        <v>58</v>
      </c>
    </row>
    <row r="30" spans="1:8" x14ac:dyDescent="0.3">
      <c r="A30" t="s">
        <v>46</v>
      </c>
      <c r="B30" t="s">
        <v>47</v>
      </c>
      <c r="C30">
        <v>2026</v>
      </c>
      <c r="D30">
        <v>1</v>
      </c>
      <c r="E30">
        <v>832000</v>
      </c>
      <c r="F30">
        <v>991300</v>
      </c>
      <c r="G30">
        <v>119.1</v>
      </c>
      <c r="H30" t="s">
        <v>58</v>
      </c>
    </row>
    <row r="31" spans="1:8" x14ac:dyDescent="0.3">
      <c r="A31" t="s">
        <v>49</v>
      </c>
      <c r="B31" t="s">
        <v>47</v>
      </c>
      <c r="C31">
        <v>2026</v>
      </c>
      <c r="D31">
        <v>1</v>
      </c>
      <c r="E31">
        <v>787000</v>
      </c>
      <c r="F31">
        <v>935800</v>
      </c>
      <c r="G31">
        <v>118.9</v>
      </c>
      <c r="H31" t="s">
        <v>58</v>
      </c>
    </row>
    <row r="32" spans="1:8" x14ac:dyDescent="0.3">
      <c r="A32" t="s">
        <v>46</v>
      </c>
      <c r="B32" t="s">
        <v>47</v>
      </c>
      <c r="C32">
        <v>2026</v>
      </c>
      <c r="D32">
        <v>8</v>
      </c>
      <c r="E32">
        <v>2206000</v>
      </c>
      <c r="F32">
        <v>1895800</v>
      </c>
      <c r="G32">
        <v>85.9</v>
      </c>
      <c r="H32" t="s">
        <v>59</v>
      </c>
    </row>
    <row r="33" spans="1:8" x14ac:dyDescent="0.3">
      <c r="A33" t="s">
        <v>42</v>
      </c>
      <c r="B33" t="s">
        <v>43</v>
      </c>
      <c r="C33">
        <v>2026</v>
      </c>
      <c r="D33">
        <v>4</v>
      </c>
      <c r="E33">
        <v>387000</v>
      </c>
      <c r="F33">
        <v>481500</v>
      </c>
      <c r="G33">
        <v>124.4</v>
      </c>
      <c r="H33" t="s">
        <v>58</v>
      </c>
    </row>
    <row r="34" spans="1:8" x14ac:dyDescent="0.3">
      <c r="A34" t="s">
        <v>40</v>
      </c>
      <c r="B34" t="s">
        <v>41</v>
      </c>
      <c r="C34">
        <v>2026</v>
      </c>
      <c r="D34">
        <v>6</v>
      </c>
      <c r="E34">
        <v>1718000</v>
      </c>
      <c r="F34">
        <v>1639800</v>
      </c>
      <c r="G34">
        <v>95.4</v>
      </c>
      <c r="H34" t="s">
        <v>59</v>
      </c>
    </row>
    <row r="35" spans="1:8" x14ac:dyDescent="0.3">
      <c r="A35" t="s">
        <v>44</v>
      </c>
      <c r="B35" t="s">
        <v>45</v>
      </c>
      <c r="C35">
        <v>2026</v>
      </c>
      <c r="D35">
        <v>4</v>
      </c>
      <c r="E35">
        <v>787000</v>
      </c>
      <c r="F35">
        <v>896000</v>
      </c>
      <c r="G35">
        <v>113.9</v>
      </c>
      <c r="H35" t="s">
        <v>58</v>
      </c>
    </row>
    <row r="36" spans="1:8" x14ac:dyDescent="0.3">
      <c r="A36" t="s">
        <v>46</v>
      </c>
      <c r="B36" t="s">
        <v>47</v>
      </c>
      <c r="C36">
        <v>2026</v>
      </c>
      <c r="D36">
        <v>6</v>
      </c>
      <c r="E36">
        <v>1429000</v>
      </c>
      <c r="F36">
        <v>1656900</v>
      </c>
      <c r="G36">
        <v>115.9</v>
      </c>
      <c r="H36" t="s">
        <v>58</v>
      </c>
    </row>
    <row r="37" spans="1:8" x14ac:dyDescent="0.3">
      <c r="A37" t="s">
        <v>50</v>
      </c>
      <c r="B37" t="s">
        <v>41</v>
      </c>
      <c r="C37">
        <v>2026</v>
      </c>
      <c r="D37">
        <v>10</v>
      </c>
      <c r="E37">
        <v>1083000</v>
      </c>
      <c r="F37">
        <v>935300</v>
      </c>
      <c r="G37">
        <v>86.4</v>
      </c>
      <c r="H37" t="s">
        <v>59</v>
      </c>
    </row>
    <row r="38" spans="1:8" x14ac:dyDescent="0.3">
      <c r="A38" t="s">
        <v>51</v>
      </c>
      <c r="B38" t="s">
        <v>45</v>
      </c>
      <c r="C38">
        <v>2026</v>
      </c>
      <c r="D38">
        <v>4</v>
      </c>
      <c r="E38">
        <v>919000</v>
      </c>
      <c r="F38">
        <v>796700</v>
      </c>
      <c r="G38">
        <v>86.7</v>
      </c>
      <c r="H38" t="s">
        <v>59</v>
      </c>
    </row>
    <row r="39" spans="1:8" x14ac:dyDescent="0.3">
      <c r="A39" t="s">
        <v>42</v>
      </c>
      <c r="B39" t="s">
        <v>43</v>
      </c>
      <c r="C39">
        <v>2026</v>
      </c>
      <c r="D39">
        <v>10</v>
      </c>
      <c r="E39">
        <v>2011000</v>
      </c>
      <c r="F39">
        <v>2184400</v>
      </c>
      <c r="G39">
        <v>108.6</v>
      </c>
      <c r="H39" t="s">
        <v>58</v>
      </c>
    </row>
    <row r="40" spans="1:8" x14ac:dyDescent="0.3">
      <c r="A40" t="s">
        <v>46</v>
      </c>
      <c r="B40" t="s">
        <v>47</v>
      </c>
      <c r="C40">
        <v>2026</v>
      </c>
      <c r="D40">
        <v>3</v>
      </c>
      <c r="E40">
        <v>497000</v>
      </c>
      <c r="F40">
        <v>562300</v>
      </c>
      <c r="G40">
        <v>113.1</v>
      </c>
      <c r="H40" t="s">
        <v>58</v>
      </c>
    </row>
    <row r="41" spans="1:8" x14ac:dyDescent="0.3">
      <c r="A41" t="s">
        <v>49</v>
      </c>
      <c r="B41" t="s">
        <v>47</v>
      </c>
      <c r="C41">
        <v>2026</v>
      </c>
      <c r="D41">
        <v>6</v>
      </c>
      <c r="E41">
        <v>896000</v>
      </c>
      <c r="F41">
        <v>1072000</v>
      </c>
      <c r="G41">
        <v>119.6</v>
      </c>
      <c r="H41" t="s">
        <v>58</v>
      </c>
    </row>
    <row r="42" spans="1:8" x14ac:dyDescent="0.3">
      <c r="A42" t="s">
        <v>46</v>
      </c>
      <c r="B42" t="s">
        <v>47</v>
      </c>
      <c r="C42">
        <v>2026</v>
      </c>
      <c r="D42">
        <v>4</v>
      </c>
      <c r="E42">
        <v>1561000</v>
      </c>
      <c r="F42">
        <v>1306000</v>
      </c>
      <c r="G42">
        <v>83.7</v>
      </c>
      <c r="H42" t="s">
        <v>59</v>
      </c>
    </row>
    <row r="43" spans="1:8" x14ac:dyDescent="0.3">
      <c r="A43" t="s">
        <v>40</v>
      </c>
      <c r="B43" t="s">
        <v>41</v>
      </c>
      <c r="C43">
        <v>2026</v>
      </c>
      <c r="D43">
        <v>7</v>
      </c>
      <c r="E43">
        <v>708000</v>
      </c>
      <c r="F43">
        <v>815500</v>
      </c>
      <c r="G43">
        <v>115.2</v>
      </c>
      <c r="H43" t="s">
        <v>58</v>
      </c>
    </row>
    <row r="44" spans="1:8" x14ac:dyDescent="0.3">
      <c r="A44" t="s">
        <v>44</v>
      </c>
      <c r="B44" t="s">
        <v>45</v>
      </c>
      <c r="C44">
        <v>2026</v>
      </c>
      <c r="D44">
        <v>10</v>
      </c>
      <c r="E44">
        <v>1613000</v>
      </c>
      <c r="F44">
        <v>1346000</v>
      </c>
      <c r="G44">
        <v>83.4</v>
      </c>
      <c r="H44" t="s">
        <v>59</v>
      </c>
    </row>
    <row r="45" spans="1:8" x14ac:dyDescent="0.3">
      <c r="A45" t="s">
        <v>44</v>
      </c>
      <c r="B45" t="s">
        <v>45</v>
      </c>
      <c r="C45">
        <v>2026</v>
      </c>
      <c r="D45">
        <v>6</v>
      </c>
      <c r="E45">
        <v>1721000</v>
      </c>
      <c r="F45">
        <v>1449300</v>
      </c>
      <c r="G45">
        <v>84.2</v>
      </c>
      <c r="H45" t="s">
        <v>59</v>
      </c>
    </row>
    <row r="46" spans="1:8" x14ac:dyDescent="0.3">
      <c r="A46" t="s">
        <v>42</v>
      </c>
      <c r="B46" t="s">
        <v>43</v>
      </c>
      <c r="C46">
        <v>2026</v>
      </c>
      <c r="D46">
        <v>9</v>
      </c>
      <c r="E46">
        <v>1856000</v>
      </c>
      <c r="F46">
        <v>1737800</v>
      </c>
      <c r="G46">
        <v>93.6</v>
      </c>
      <c r="H46" t="s">
        <v>59</v>
      </c>
    </row>
    <row r="47" spans="1:8" x14ac:dyDescent="0.3">
      <c r="A47" t="s">
        <v>50</v>
      </c>
      <c r="B47" t="s">
        <v>41</v>
      </c>
      <c r="C47">
        <v>2026</v>
      </c>
      <c r="D47">
        <v>7</v>
      </c>
      <c r="E47">
        <v>1062000</v>
      </c>
      <c r="F47">
        <v>1163700</v>
      </c>
      <c r="G47">
        <v>109.6</v>
      </c>
      <c r="H47" t="s">
        <v>58</v>
      </c>
    </row>
    <row r="48" spans="1:8" x14ac:dyDescent="0.3">
      <c r="A48" t="s">
        <v>46</v>
      </c>
      <c r="B48" t="s">
        <v>47</v>
      </c>
      <c r="C48">
        <v>2026</v>
      </c>
      <c r="D48">
        <v>7</v>
      </c>
      <c r="E48">
        <v>1419000</v>
      </c>
      <c r="F48">
        <v>1431900</v>
      </c>
      <c r="G48">
        <v>100.9</v>
      </c>
      <c r="H48" t="s">
        <v>58</v>
      </c>
    </row>
    <row r="49" spans="1:8" x14ac:dyDescent="0.3">
      <c r="A49" t="s">
        <v>40</v>
      </c>
      <c r="B49" t="s">
        <v>41</v>
      </c>
      <c r="C49">
        <v>2026</v>
      </c>
      <c r="D49">
        <v>9</v>
      </c>
      <c r="E49">
        <v>1782000</v>
      </c>
      <c r="F49">
        <v>1883600</v>
      </c>
      <c r="G49">
        <v>105.7</v>
      </c>
      <c r="H49" t="s">
        <v>58</v>
      </c>
    </row>
    <row r="50" spans="1:8" x14ac:dyDescent="0.3">
      <c r="A50" t="s">
        <v>44</v>
      </c>
      <c r="B50" t="s">
        <v>45</v>
      </c>
      <c r="C50">
        <v>2026</v>
      </c>
      <c r="D50">
        <v>9</v>
      </c>
      <c r="E50">
        <v>1843000</v>
      </c>
      <c r="F50">
        <v>1823300</v>
      </c>
      <c r="G50">
        <v>98.9</v>
      </c>
      <c r="H50" t="s">
        <v>59</v>
      </c>
    </row>
    <row r="51" spans="1:8" x14ac:dyDescent="0.3">
      <c r="A51" t="s">
        <v>42</v>
      </c>
      <c r="B51" t="s">
        <v>43</v>
      </c>
      <c r="C51">
        <v>2026</v>
      </c>
      <c r="D51">
        <v>2</v>
      </c>
      <c r="E51">
        <v>1104000</v>
      </c>
      <c r="F51">
        <v>1042700</v>
      </c>
      <c r="G51">
        <v>94.4</v>
      </c>
      <c r="H51" t="s">
        <v>59</v>
      </c>
    </row>
    <row r="52" spans="1:8" x14ac:dyDescent="0.3">
      <c r="A52" t="s">
        <v>49</v>
      </c>
      <c r="B52" t="s">
        <v>47</v>
      </c>
      <c r="C52">
        <v>2026</v>
      </c>
      <c r="D52">
        <v>3</v>
      </c>
      <c r="E52">
        <v>1502000</v>
      </c>
      <c r="F52">
        <v>1831700</v>
      </c>
      <c r="G52">
        <v>122</v>
      </c>
      <c r="H52" t="s">
        <v>58</v>
      </c>
    </row>
    <row r="53" spans="1:8" x14ac:dyDescent="0.3">
      <c r="A53" t="s">
        <v>40</v>
      </c>
      <c r="B53" t="s">
        <v>41</v>
      </c>
      <c r="C53">
        <v>2026</v>
      </c>
      <c r="D53">
        <v>8</v>
      </c>
      <c r="E53">
        <v>1410000</v>
      </c>
      <c r="F53">
        <v>1229400</v>
      </c>
      <c r="G53">
        <v>87.2</v>
      </c>
      <c r="H53" t="s">
        <v>59</v>
      </c>
    </row>
    <row r="54" spans="1:8" x14ac:dyDescent="0.3">
      <c r="A54" t="s">
        <v>51</v>
      </c>
      <c r="B54" t="s">
        <v>45</v>
      </c>
      <c r="C54">
        <v>2026</v>
      </c>
      <c r="D54">
        <v>9</v>
      </c>
      <c r="E54">
        <v>1020000</v>
      </c>
      <c r="F54">
        <v>932500</v>
      </c>
      <c r="G54">
        <v>91.4</v>
      </c>
      <c r="H54" t="s">
        <v>59</v>
      </c>
    </row>
    <row r="55" spans="1:8" x14ac:dyDescent="0.3">
      <c r="A55" t="s">
        <v>49</v>
      </c>
      <c r="B55" t="s">
        <v>47</v>
      </c>
      <c r="C55">
        <v>2026</v>
      </c>
      <c r="D55">
        <v>4</v>
      </c>
      <c r="E55">
        <v>1253000</v>
      </c>
      <c r="F55">
        <v>1340400</v>
      </c>
      <c r="G55">
        <v>107</v>
      </c>
      <c r="H55" t="s">
        <v>58</v>
      </c>
    </row>
    <row r="56" spans="1:8" x14ac:dyDescent="0.3">
      <c r="A56" t="s">
        <v>49</v>
      </c>
      <c r="B56" t="s">
        <v>47</v>
      </c>
      <c r="C56">
        <v>2026</v>
      </c>
      <c r="D56">
        <v>10</v>
      </c>
      <c r="E56">
        <v>902000</v>
      </c>
      <c r="F56">
        <v>857700</v>
      </c>
      <c r="G56">
        <v>95.1</v>
      </c>
      <c r="H56" t="s">
        <v>59</v>
      </c>
    </row>
    <row r="57" spans="1:8" x14ac:dyDescent="0.3">
      <c r="A57" t="s">
        <v>50</v>
      </c>
      <c r="B57" t="s">
        <v>41</v>
      </c>
      <c r="C57">
        <v>2026</v>
      </c>
      <c r="D57">
        <v>1</v>
      </c>
      <c r="E57">
        <v>2212000</v>
      </c>
      <c r="F57">
        <v>2034300</v>
      </c>
      <c r="G57">
        <v>92</v>
      </c>
      <c r="H57" t="s">
        <v>59</v>
      </c>
    </row>
    <row r="58" spans="1:8" x14ac:dyDescent="0.3">
      <c r="A58" t="s">
        <v>40</v>
      </c>
      <c r="B58" t="s">
        <v>41</v>
      </c>
      <c r="C58">
        <v>2026</v>
      </c>
      <c r="D58">
        <v>4</v>
      </c>
      <c r="E58">
        <v>1027000</v>
      </c>
      <c r="F58">
        <v>1044400</v>
      </c>
      <c r="G58">
        <v>101.7</v>
      </c>
      <c r="H58" t="s">
        <v>58</v>
      </c>
    </row>
    <row r="59" spans="1:8" x14ac:dyDescent="0.3">
      <c r="A59" t="s">
        <v>50</v>
      </c>
      <c r="B59" t="s">
        <v>41</v>
      </c>
      <c r="C59">
        <v>2026</v>
      </c>
      <c r="D59">
        <v>2</v>
      </c>
      <c r="E59">
        <v>1220000</v>
      </c>
      <c r="F59">
        <v>1355000</v>
      </c>
      <c r="G59">
        <v>111.1</v>
      </c>
      <c r="H59" t="s">
        <v>58</v>
      </c>
    </row>
    <row r="60" spans="1:8" x14ac:dyDescent="0.3">
      <c r="A60" t="s">
        <v>51</v>
      </c>
      <c r="B60" t="s">
        <v>45</v>
      </c>
      <c r="C60">
        <v>2026</v>
      </c>
      <c r="D60">
        <v>6</v>
      </c>
      <c r="E60">
        <v>771000</v>
      </c>
      <c r="F60">
        <v>696900</v>
      </c>
      <c r="G60">
        <v>90.4</v>
      </c>
      <c r="H60" t="s">
        <v>59</v>
      </c>
    </row>
    <row r="61" spans="1:8" x14ac:dyDescent="0.3">
      <c r="A61" t="s">
        <v>40</v>
      </c>
      <c r="B61" t="s">
        <v>41</v>
      </c>
      <c r="C61">
        <v>2026</v>
      </c>
      <c r="D61">
        <v>3</v>
      </c>
      <c r="E61">
        <v>993000</v>
      </c>
      <c r="F61">
        <v>1178300</v>
      </c>
      <c r="G61">
        <v>118.7</v>
      </c>
      <c r="H61" t="s">
        <v>58</v>
      </c>
    </row>
    <row r="62" spans="1:8" x14ac:dyDescent="0.3">
      <c r="A62" t="s">
        <v>46</v>
      </c>
      <c r="B62" t="s">
        <v>47</v>
      </c>
      <c r="C62">
        <v>2026</v>
      </c>
      <c r="D62">
        <v>10</v>
      </c>
      <c r="E62">
        <v>593000</v>
      </c>
      <c r="F62">
        <v>675800</v>
      </c>
      <c r="G62">
        <v>114</v>
      </c>
      <c r="H62" t="s">
        <v>58</v>
      </c>
    </row>
    <row r="63" spans="1:8" x14ac:dyDescent="0.3">
      <c r="A63" t="s">
        <v>42</v>
      </c>
      <c r="B63" t="s">
        <v>43</v>
      </c>
      <c r="C63">
        <v>2026</v>
      </c>
      <c r="D63">
        <v>3</v>
      </c>
      <c r="E63">
        <v>1143000</v>
      </c>
      <c r="F63">
        <v>1027200</v>
      </c>
      <c r="G63">
        <v>89.9</v>
      </c>
      <c r="H63" t="s">
        <v>59</v>
      </c>
    </row>
    <row r="64" spans="1:8" x14ac:dyDescent="0.3">
      <c r="A64" t="s">
        <v>42</v>
      </c>
      <c r="B64" t="s">
        <v>43</v>
      </c>
      <c r="C64">
        <v>2026</v>
      </c>
      <c r="D64">
        <v>1</v>
      </c>
      <c r="E64">
        <v>1213000</v>
      </c>
      <c r="F64">
        <v>1111900</v>
      </c>
      <c r="G64">
        <v>91.7</v>
      </c>
      <c r="H64" t="s">
        <v>59</v>
      </c>
    </row>
    <row r="65" spans="1:8" x14ac:dyDescent="0.3">
      <c r="A65" t="s">
        <v>48</v>
      </c>
      <c r="B65" t="s">
        <v>43</v>
      </c>
      <c r="C65">
        <v>2026</v>
      </c>
      <c r="D65">
        <v>7</v>
      </c>
      <c r="E65">
        <v>479000</v>
      </c>
      <c r="F65">
        <v>465600</v>
      </c>
      <c r="G65">
        <v>97.2</v>
      </c>
      <c r="H65" t="s">
        <v>59</v>
      </c>
    </row>
    <row r="66" spans="1:8" x14ac:dyDescent="0.3">
      <c r="A66" t="s">
        <v>49</v>
      </c>
      <c r="B66" t="s">
        <v>47</v>
      </c>
      <c r="C66">
        <v>2026</v>
      </c>
      <c r="D66">
        <v>2</v>
      </c>
      <c r="E66">
        <v>1164000</v>
      </c>
      <c r="F66">
        <v>1368600</v>
      </c>
      <c r="G66">
        <v>117.6</v>
      </c>
      <c r="H66" t="s">
        <v>58</v>
      </c>
    </row>
    <row r="67" spans="1:8" x14ac:dyDescent="0.3">
      <c r="A67" t="s">
        <v>40</v>
      </c>
      <c r="B67" t="s">
        <v>41</v>
      </c>
      <c r="C67">
        <v>2026</v>
      </c>
      <c r="D67">
        <v>2</v>
      </c>
      <c r="E67">
        <v>1649000</v>
      </c>
      <c r="F67">
        <v>1838700</v>
      </c>
      <c r="G67">
        <v>111.5</v>
      </c>
      <c r="H67" t="s">
        <v>58</v>
      </c>
    </row>
    <row r="68" spans="1:8" x14ac:dyDescent="0.3">
      <c r="A68" t="s">
        <v>42</v>
      </c>
      <c r="B68" t="s">
        <v>43</v>
      </c>
      <c r="C68">
        <v>2026</v>
      </c>
      <c r="D68">
        <v>6</v>
      </c>
      <c r="E68">
        <v>1114000</v>
      </c>
      <c r="F68">
        <v>1154100</v>
      </c>
      <c r="G68">
        <v>103.6</v>
      </c>
      <c r="H68" t="s">
        <v>58</v>
      </c>
    </row>
    <row r="69" spans="1:8" x14ac:dyDescent="0.3">
      <c r="A69" t="s">
        <v>44</v>
      </c>
      <c r="B69" t="s">
        <v>45</v>
      </c>
      <c r="C69">
        <v>2026</v>
      </c>
      <c r="D69">
        <v>8</v>
      </c>
      <c r="E69">
        <v>1353000</v>
      </c>
      <c r="F69">
        <v>1288600</v>
      </c>
      <c r="G69">
        <v>95.2</v>
      </c>
      <c r="H69" t="s">
        <v>59</v>
      </c>
    </row>
    <row r="70" spans="1:8" x14ac:dyDescent="0.3">
      <c r="A70" t="s">
        <v>49</v>
      </c>
      <c r="B70" t="s">
        <v>47</v>
      </c>
      <c r="C70">
        <v>2026</v>
      </c>
      <c r="D70">
        <v>5</v>
      </c>
      <c r="E70">
        <v>491000</v>
      </c>
      <c r="F70">
        <v>452500</v>
      </c>
      <c r="G70">
        <v>92.2</v>
      </c>
      <c r="H70" t="s">
        <v>59</v>
      </c>
    </row>
    <row r="71" spans="1:8" x14ac:dyDescent="0.3">
      <c r="A71" t="s">
        <v>50</v>
      </c>
      <c r="B71" t="s">
        <v>41</v>
      </c>
      <c r="C71">
        <v>2026</v>
      </c>
      <c r="D71">
        <v>6</v>
      </c>
      <c r="E71">
        <v>669000</v>
      </c>
      <c r="F71">
        <v>757700</v>
      </c>
      <c r="G71">
        <v>113.3</v>
      </c>
      <c r="H71" t="s">
        <v>58</v>
      </c>
    </row>
    <row r="72" spans="1:8" x14ac:dyDescent="0.3">
      <c r="A72" t="s">
        <v>48</v>
      </c>
      <c r="B72" t="s">
        <v>43</v>
      </c>
      <c r="C72">
        <v>2026</v>
      </c>
      <c r="D72">
        <v>2</v>
      </c>
      <c r="E72">
        <v>1519000</v>
      </c>
      <c r="F72">
        <v>1332400</v>
      </c>
      <c r="G72">
        <v>87.7</v>
      </c>
      <c r="H72" t="s">
        <v>59</v>
      </c>
    </row>
    <row r="73" spans="1:8" x14ac:dyDescent="0.3">
      <c r="A73" t="s">
        <v>51</v>
      </c>
      <c r="B73" t="s">
        <v>45</v>
      </c>
      <c r="C73">
        <v>2026</v>
      </c>
      <c r="D73">
        <v>8</v>
      </c>
      <c r="E73">
        <v>632000</v>
      </c>
      <c r="F73">
        <v>539800</v>
      </c>
      <c r="G73">
        <v>85.4</v>
      </c>
      <c r="H73" t="s">
        <v>59</v>
      </c>
    </row>
    <row r="74" spans="1:8" x14ac:dyDescent="0.3">
      <c r="A74" t="s">
        <v>50</v>
      </c>
      <c r="B74" t="s">
        <v>41</v>
      </c>
      <c r="C74">
        <v>2026</v>
      </c>
      <c r="D74">
        <v>5</v>
      </c>
      <c r="E74">
        <v>1735000</v>
      </c>
      <c r="F74">
        <v>1548100</v>
      </c>
      <c r="G74">
        <v>89.2</v>
      </c>
      <c r="H74" t="s">
        <v>59</v>
      </c>
    </row>
    <row r="75" spans="1:8" x14ac:dyDescent="0.3">
      <c r="A75" t="s">
        <v>42</v>
      </c>
      <c r="B75" t="s">
        <v>43</v>
      </c>
      <c r="C75">
        <v>2026</v>
      </c>
      <c r="D75">
        <v>8</v>
      </c>
      <c r="E75">
        <v>1017000</v>
      </c>
      <c r="F75">
        <v>1108900</v>
      </c>
      <c r="G75">
        <v>109</v>
      </c>
      <c r="H75" t="s">
        <v>58</v>
      </c>
    </row>
    <row r="76" spans="1:8" x14ac:dyDescent="0.3">
      <c r="A76" t="s">
        <v>42</v>
      </c>
      <c r="B76" t="s">
        <v>43</v>
      </c>
      <c r="C76">
        <v>2026</v>
      </c>
      <c r="D76">
        <v>5</v>
      </c>
      <c r="E76">
        <v>1166000</v>
      </c>
      <c r="F76">
        <v>1153200</v>
      </c>
      <c r="G76">
        <v>98.9</v>
      </c>
      <c r="H76" t="s">
        <v>59</v>
      </c>
    </row>
    <row r="77" spans="1:8" x14ac:dyDescent="0.3">
      <c r="A77" t="s">
        <v>51</v>
      </c>
      <c r="B77" t="s">
        <v>45</v>
      </c>
      <c r="C77">
        <v>2026</v>
      </c>
      <c r="D77">
        <v>5</v>
      </c>
      <c r="E77">
        <v>1185000</v>
      </c>
      <c r="F77">
        <v>1394500</v>
      </c>
      <c r="G77">
        <v>117.7</v>
      </c>
      <c r="H77" t="s">
        <v>58</v>
      </c>
    </row>
    <row r="78" spans="1:8" x14ac:dyDescent="0.3">
      <c r="A78" t="s">
        <v>48</v>
      </c>
      <c r="B78" t="s">
        <v>43</v>
      </c>
      <c r="C78">
        <v>2026</v>
      </c>
      <c r="D78">
        <v>5</v>
      </c>
      <c r="E78">
        <v>1382000</v>
      </c>
      <c r="F78">
        <v>1366100</v>
      </c>
      <c r="G78">
        <v>98.8</v>
      </c>
      <c r="H78" t="s">
        <v>59</v>
      </c>
    </row>
    <row r="79" spans="1:8" x14ac:dyDescent="0.3">
      <c r="A79" t="s">
        <v>51</v>
      </c>
      <c r="B79" t="s">
        <v>45</v>
      </c>
      <c r="C79">
        <v>2026</v>
      </c>
      <c r="D79">
        <v>10</v>
      </c>
      <c r="E79">
        <v>560000</v>
      </c>
      <c r="F79">
        <v>609900</v>
      </c>
      <c r="G79">
        <v>108.9</v>
      </c>
      <c r="H79" t="s">
        <v>58</v>
      </c>
    </row>
    <row r="80" spans="1:8" x14ac:dyDescent="0.3">
      <c r="A80" t="s">
        <v>42</v>
      </c>
      <c r="B80" t="s">
        <v>43</v>
      </c>
      <c r="C80">
        <v>2026</v>
      </c>
      <c r="D80">
        <v>7</v>
      </c>
      <c r="E80">
        <v>918000</v>
      </c>
      <c r="F80">
        <v>1144800</v>
      </c>
      <c r="G80">
        <v>124.7</v>
      </c>
      <c r="H80" t="s">
        <v>58</v>
      </c>
    </row>
    <row r="81" spans="1:8" x14ac:dyDescent="0.3">
      <c r="A81" t="s">
        <v>50</v>
      </c>
      <c r="B81" t="s">
        <v>41</v>
      </c>
      <c r="C81">
        <v>2026</v>
      </c>
      <c r="D81">
        <v>9</v>
      </c>
      <c r="E81">
        <v>1473000</v>
      </c>
      <c r="F81">
        <v>1779600</v>
      </c>
      <c r="G81">
        <v>120.8</v>
      </c>
      <c r="H81" t="s">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1B5E83"/>
  </sheetPr>
  <dimension ref="A1:W87"/>
  <sheetViews>
    <sheetView showGridLines="0" topLeftCell="A1" zoomScale="47" zoomScaleNormal="100" workbookViewId="0">
      <selection activeCell="B11" sqref="B11"/>
    </sheetView>
  </sheetViews>
  <sheetFormatPr defaultRowHeight="14.4" x14ac:dyDescent="0.3"/>
  <cols>
    <col min="1" max="1" width="2" customWidth="1"/>
    <col min="2" max="22" width="9" customWidth="1"/>
    <col min="23" max="23" width="17.21875" customWidth="1"/>
    <col min="24" max="24" width="3" customWidth="1"/>
    <col min="25" max="26" width="15" customWidth="1"/>
    <col min="27" max="27" width="23" customWidth="1"/>
    <col min="28" max="32" width="15" customWidth="1"/>
  </cols>
  <sheetData>
    <row r="1" spans="1:23" ht="22.2" customHeight="1" x14ac:dyDescent="0.3">
      <c r="A1" s="17"/>
      <c r="B1" s="17"/>
      <c r="C1" s="17"/>
      <c r="D1" s="17"/>
      <c r="E1" s="17"/>
      <c r="F1" s="17"/>
      <c r="G1" s="17"/>
      <c r="H1" s="17"/>
      <c r="I1" s="17"/>
      <c r="J1" s="17"/>
      <c r="K1" s="17"/>
      <c r="L1" s="17"/>
      <c r="M1" s="17"/>
      <c r="N1" s="17"/>
      <c r="O1" s="17"/>
      <c r="P1" s="17"/>
      <c r="Q1" s="17"/>
      <c r="R1" s="17"/>
      <c r="S1" s="17"/>
      <c r="T1" s="17"/>
      <c r="U1" s="17"/>
      <c r="V1" s="17"/>
      <c r="W1" s="17"/>
    </row>
    <row r="2" spans="1:23" ht="19.95" customHeight="1" x14ac:dyDescent="0.3">
      <c r="A2" s="17"/>
      <c r="B2" s="17"/>
      <c r="C2" s="17"/>
      <c r="D2" s="17"/>
      <c r="E2" s="17"/>
      <c r="F2" s="17"/>
      <c r="G2" s="19"/>
      <c r="H2" s="20"/>
      <c r="I2" s="20"/>
      <c r="J2" s="21"/>
      <c r="K2" s="19"/>
      <c r="L2" s="20"/>
      <c r="M2" s="20"/>
      <c r="N2" s="21"/>
      <c r="O2" s="19"/>
      <c r="P2" s="20"/>
      <c r="Q2" s="20"/>
      <c r="R2" s="21"/>
      <c r="S2" s="19"/>
      <c r="T2" s="20"/>
      <c r="U2" s="20"/>
      <c r="V2" s="21"/>
      <c r="W2" s="17"/>
    </row>
    <row r="3" spans="1:23" ht="19.95" customHeight="1" x14ac:dyDescent="0.3">
      <c r="A3" s="17"/>
      <c r="B3" s="47" t="s">
        <v>80</v>
      </c>
      <c r="C3" s="36"/>
      <c r="D3" s="36"/>
      <c r="E3" s="36"/>
      <c r="F3" s="17"/>
      <c r="G3" s="44" t="s">
        <v>74</v>
      </c>
      <c r="H3" s="41"/>
      <c r="I3" s="41"/>
      <c r="J3" s="42"/>
      <c r="K3" s="44" t="s">
        <v>75</v>
      </c>
      <c r="L3" s="41"/>
      <c r="M3" s="41"/>
      <c r="N3" s="42"/>
      <c r="O3" s="44" t="s">
        <v>81</v>
      </c>
      <c r="P3" s="41"/>
      <c r="Q3" s="41"/>
      <c r="R3" s="42"/>
      <c r="S3" s="44" t="s">
        <v>107</v>
      </c>
      <c r="T3" s="41"/>
      <c r="U3" s="41"/>
      <c r="V3" s="42"/>
      <c r="W3" s="17"/>
    </row>
    <row r="4" spans="1:23" ht="19.95" customHeight="1" x14ac:dyDescent="0.3">
      <c r="A4" s="17"/>
      <c r="B4" s="36"/>
      <c r="C4" s="36"/>
      <c r="D4" s="36"/>
      <c r="E4" s="36"/>
      <c r="F4" s="17"/>
      <c r="G4" s="40">
        <f>'Helper Tables'!$D$24</f>
        <v>98992100</v>
      </c>
      <c r="H4" s="41"/>
      <c r="I4" s="41"/>
      <c r="J4" s="42"/>
      <c r="K4" s="40">
        <f>'Helper Tables'!$D$25</f>
        <v>96972000</v>
      </c>
      <c r="L4" s="41"/>
      <c r="M4" s="41"/>
      <c r="N4" s="42"/>
      <c r="O4" s="51">
        <f>'Helper Tables'!$D$26</f>
        <v>2020100</v>
      </c>
      <c r="P4" s="41"/>
      <c r="Q4" s="41"/>
      <c r="R4" s="42"/>
      <c r="S4" s="45">
        <f>'Helper Tables'!$D$27</f>
        <v>3000</v>
      </c>
      <c r="T4" s="41"/>
      <c r="U4" s="41"/>
      <c r="V4" s="42"/>
      <c r="W4" s="17"/>
    </row>
    <row r="5" spans="1:23" ht="19.95" customHeight="1" x14ac:dyDescent="0.3">
      <c r="A5" s="17"/>
      <c r="B5" s="36"/>
      <c r="C5" s="36"/>
      <c r="D5" s="36"/>
      <c r="E5" s="36"/>
      <c r="F5" s="17"/>
      <c r="G5" s="43"/>
      <c r="H5" s="41"/>
      <c r="I5" s="41"/>
      <c r="J5" s="42"/>
      <c r="K5" s="43"/>
      <c r="L5" s="41"/>
      <c r="M5" s="41"/>
      <c r="N5" s="42"/>
      <c r="O5" s="43"/>
      <c r="P5" s="41"/>
      <c r="Q5" s="41"/>
      <c r="R5" s="42"/>
      <c r="S5" s="43"/>
      <c r="T5" s="41"/>
      <c r="U5" s="41"/>
      <c r="V5" s="42"/>
      <c r="W5" s="17"/>
    </row>
    <row r="6" spans="1:23" ht="19.95" customHeight="1" x14ac:dyDescent="0.3">
      <c r="A6" s="17"/>
      <c r="B6" s="35" t="str">
        <f>$B$11&amp;" | "&amp;$B$19&amp;" | "&amp;$B$15</f>
        <v>2026 | All | All</v>
      </c>
      <c r="C6" s="36"/>
      <c r="D6" s="36"/>
      <c r="E6" s="36"/>
      <c r="F6" s="17"/>
      <c r="G6" s="43"/>
      <c r="H6" s="41"/>
      <c r="I6" s="41"/>
      <c r="J6" s="42"/>
      <c r="K6" s="43"/>
      <c r="L6" s="41"/>
      <c r="M6" s="41"/>
      <c r="N6" s="42"/>
      <c r="O6" s="43"/>
      <c r="P6" s="41"/>
      <c r="Q6" s="41"/>
      <c r="R6" s="42"/>
      <c r="S6" s="43"/>
      <c r="T6" s="41"/>
      <c r="U6" s="41"/>
      <c r="V6" s="42"/>
      <c r="W6" s="17"/>
    </row>
    <row r="7" spans="1:23" ht="19.95" customHeight="1" x14ac:dyDescent="0.3">
      <c r="A7" s="17"/>
      <c r="B7" s="17"/>
      <c r="C7" s="17"/>
      <c r="D7" s="17"/>
      <c r="E7" s="17"/>
      <c r="F7" s="17"/>
      <c r="G7" s="23"/>
      <c r="H7" s="24"/>
      <c r="I7" s="24"/>
      <c r="J7" s="25"/>
      <c r="K7" s="23"/>
      <c r="L7" s="24"/>
      <c r="M7" s="24"/>
      <c r="N7" s="25"/>
      <c r="O7" s="23"/>
      <c r="P7" s="24"/>
      <c r="Q7" s="24"/>
      <c r="R7" s="25"/>
      <c r="S7" s="23"/>
      <c r="T7" s="24"/>
      <c r="U7" s="24"/>
      <c r="V7" s="25"/>
      <c r="W7" s="17"/>
    </row>
    <row r="8" spans="1:23" ht="7.95" customHeight="1" x14ac:dyDescent="0.3">
      <c r="A8" s="17"/>
      <c r="B8" s="17"/>
      <c r="C8" s="17"/>
      <c r="D8" s="17"/>
      <c r="E8" s="17"/>
      <c r="F8" s="17"/>
      <c r="G8" s="17"/>
      <c r="H8" s="17"/>
      <c r="I8" s="17"/>
      <c r="J8" s="17"/>
      <c r="K8" s="17"/>
      <c r="L8" s="17"/>
      <c r="M8" s="17"/>
      <c r="N8" s="17"/>
      <c r="O8" s="17"/>
      <c r="P8" s="17"/>
      <c r="Q8" s="17"/>
      <c r="R8" s="17"/>
      <c r="S8" s="17"/>
      <c r="T8" s="17"/>
      <c r="U8" s="17"/>
      <c r="V8" s="17"/>
      <c r="W8" s="17"/>
    </row>
    <row r="9" spans="1:23" x14ac:dyDescent="0.3">
      <c r="A9" s="26"/>
      <c r="B9" s="26"/>
      <c r="C9" s="26"/>
      <c r="D9" s="26"/>
      <c r="E9" s="26"/>
      <c r="F9" s="26"/>
      <c r="G9" s="26"/>
      <c r="H9" s="26"/>
      <c r="I9" s="26"/>
      <c r="J9" s="26"/>
      <c r="K9" s="26"/>
      <c r="L9" s="26"/>
      <c r="M9" s="26"/>
      <c r="N9" s="26"/>
      <c r="O9" s="26"/>
      <c r="P9" s="26"/>
      <c r="Q9" s="26"/>
      <c r="R9" s="26"/>
      <c r="S9" s="26"/>
      <c r="T9" s="26"/>
      <c r="U9" s="26"/>
      <c r="V9" s="26"/>
      <c r="W9" s="26"/>
    </row>
    <row r="10" spans="1:23" x14ac:dyDescent="0.3">
      <c r="A10" s="26"/>
      <c r="B10" s="48" t="s">
        <v>79</v>
      </c>
      <c r="C10" s="36"/>
      <c r="D10" s="36"/>
      <c r="E10" s="36"/>
      <c r="F10" s="26"/>
      <c r="G10" s="27"/>
      <c r="H10" s="27"/>
      <c r="I10" s="27"/>
      <c r="J10" s="27"/>
      <c r="K10" s="27"/>
      <c r="L10" s="27"/>
      <c r="M10" s="26"/>
      <c r="N10" s="27"/>
      <c r="O10" s="27"/>
      <c r="P10" s="27"/>
      <c r="Q10" s="27"/>
      <c r="R10" s="27"/>
      <c r="S10" s="27"/>
      <c r="T10" s="27"/>
      <c r="U10" s="27"/>
      <c r="V10" s="27"/>
      <c r="W10" s="26"/>
    </row>
    <row r="11" spans="1:23" x14ac:dyDescent="0.3">
      <c r="A11" s="26"/>
      <c r="B11" s="37">
        <v>2026</v>
      </c>
      <c r="C11" s="38"/>
      <c r="D11" s="38"/>
      <c r="E11" s="38"/>
      <c r="F11" s="26"/>
      <c r="G11" s="27"/>
      <c r="H11" s="27"/>
      <c r="I11" s="27"/>
      <c r="J11" s="27"/>
      <c r="K11" s="27"/>
      <c r="L11" s="27"/>
      <c r="M11" s="26"/>
      <c r="N11" s="27"/>
      <c r="O11" s="27"/>
      <c r="P11" s="27"/>
      <c r="Q11" s="27"/>
      <c r="R11" s="27"/>
      <c r="S11" s="27"/>
      <c r="T11" s="27"/>
      <c r="U11" s="27"/>
      <c r="V11" s="27"/>
      <c r="W11" s="26"/>
    </row>
    <row r="12" spans="1:23" x14ac:dyDescent="0.3">
      <c r="A12" s="26"/>
      <c r="B12" s="38"/>
      <c r="C12" s="38"/>
      <c r="D12" s="38"/>
      <c r="E12" s="38"/>
      <c r="F12" s="26"/>
      <c r="G12" s="27"/>
      <c r="H12" s="27"/>
      <c r="I12" s="27"/>
      <c r="J12" s="27"/>
      <c r="K12" s="27"/>
      <c r="L12" s="27"/>
      <c r="M12" s="26"/>
      <c r="N12" s="27"/>
      <c r="O12" s="27"/>
      <c r="P12" s="27"/>
      <c r="Q12" s="27"/>
      <c r="R12" s="27"/>
      <c r="S12" s="27"/>
      <c r="T12" s="27"/>
      <c r="U12" s="27"/>
      <c r="V12" s="27"/>
      <c r="W12" s="26"/>
    </row>
    <row r="13" spans="1:23" x14ac:dyDescent="0.3">
      <c r="A13" s="26"/>
      <c r="B13" s="27"/>
      <c r="C13" s="27"/>
      <c r="D13" s="27"/>
      <c r="E13" s="27"/>
      <c r="F13" s="26"/>
      <c r="G13" s="27"/>
      <c r="H13" s="27"/>
      <c r="I13" s="27"/>
      <c r="J13" s="27"/>
      <c r="K13" s="27"/>
      <c r="L13" s="27"/>
      <c r="M13" s="26"/>
      <c r="N13" s="27"/>
      <c r="O13" s="27"/>
      <c r="P13" s="27"/>
      <c r="Q13" s="27"/>
      <c r="R13" s="27"/>
      <c r="S13" s="27"/>
      <c r="T13" s="27"/>
      <c r="U13" s="27"/>
      <c r="V13" s="27"/>
      <c r="W13" s="26"/>
    </row>
    <row r="14" spans="1:23" x14ac:dyDescent="0.3">
      <c r="A14" s="26"/>
      <c r="B14" s="48" t="s">
        <v>92</v>
      </c>
      <c r="C14" s="36"/>
      <c r="D14" s="36"/>
      <c r="E14" s="36"/>
      <c r="F14" s="26"/>
      <c r="G14" s="27"/>
      <c r="H14" s="27"/>
      <c r="I14" s="27"/>
      <c r="J14" s="27"/>
      <c r="K14" s="27"/>
      <c r="L14" s="27"/>
      <c r="M14" s="26"/>
      <c r="N14" s="27"/>
      <c r="O14" s="27"/>
      <c r="P14" s="27"/>
      <c r="Q14" s="27"/>
      <c r="R14" s="27"/>
      <c r="S14" s="27"/>
      <c r="T14" s="27"/>
      <c r="U14" s="27"/>
      <c r="V14" s="27"/>
      <c r="W14" s="26"/>
    </row>
    <row r="15" spans="1:23" x14ac:dyDescent="0.3">
      <c r="A15" s="26"/>
      <c r="B15" s="46" t="s">
        <v>106</v>
      </c>
      <c r="C15" s="38"/>
      <c r="D15" s="38"/>
      <c r="E15" s="38"/>
      <c r="F15" s="26"/>
      <c r="G15" s="27"/>
      <c r="H15" s="27"/>
      <c r="I15" s="27"/>
      <c r="J15" s="27"/>
      <c r="K15" s="27"/>
      <c r="L15" s="27"/>
      <c r="M15" s="26"/>
      <c r="N15" s="27"/>
      <c r="O15" s="27"/>
      <c r="P15" s="27"/>
      <c r="Q15" s="27"/>
      <c r="R15" s="27"/>
      <c r="S15" s="27"/>
      <c r="T15" s="27"/>
      <c r="U15" s="27"/>
      <c r="V15" s="27"/>
      <c r="W15" s="26"/>
    </row>
    <row r="16" spans="1:23" x14ac:dyDescent="0.3">
      <c r="A16" s="26"/>
      <c r="B16" s="38"/>
      <c r="C16" s="38"/>
      <c r="D16" s="38"/>
      <c r="E16" s="38"/>
      <c r="F16" s="26"/>
      <c r="G16" s="27"/>
      <c r="H16" s="27"/>
      <c r="I16" s="27"/>
      <c r="J16" s="27"/>
      <c r="K16" s="27"/>
      <c r="L16" s="27"/>
      <c r="M16" s="26"/>
      <c r="N16" s="27"/>
      <c r="O16" s="27"/>
      <c r="P16" s="27"/>
      <c r="Q16" s="27"/>
      <c r="R16" s="27"/>
      <c r="S16" s="27"/>
      <c r="T16" s="27"/>
      <c r="U16" s="27"/>
      <c r="V16" s="27"/>
      <c r="W16" s="26"/>
    </row>
    <row r="17" spans="1:23" x14ac:dyDescent="0.3">
      <c r="A17" s="26"/>
      <c r="B17" s="27"/>
      <c r="C17" s="27"/>
      <c r="D17" s="27"/>
      <c r="E17" s="27"/>
      <c r="F17" s="26"/>
      <c r="G17" s="27"/>
      <c r="H17" s="27"/>
      <c r="I17" s="27"/>
      <c r="J17" s="27"/>
      <c r="K17" s="27"/>
      <c r="L17" s="27"/>
      <c r="M17" s="26"/>
      <c r="N17" s="27"/>
      <c r="O17" s="27"/>
      <c r="P17" s="27"/>
      <c r="Q17" s="27"/>
      <c r="R17" s="27"/>
      <c r="S17" s="27"/>
      <c r="T17" s="27"/>
      <c r="U17" s="27"/>
      <c r="V17" s="27"/>
      <c r="W17" s="26"/>
    </row>
    <row r="18" spans="1:23" x14ac:dyDescent="0.3">
      <c r="A18" s="26"/>
      <c r="B18" s="48" t="s">
        <v>89</v>
      </c>
      <c r="C18" s="36"/>
      <c r="D18" s="36"/>
      <c r="E18" s="36"/>
      <c r="F18" s="26"/>
      <c r="G18" s="27"/>
      <c r="H18" s="39">
        <f>'Helper Tables'!$D$28</f>
        <v>1.02083178649507</v>
      </c>
      <c r="I18" s="36"/>
      <c r="J18" s="36"/>
      <c r="K18" s="36"/>
      <c r="L18" s="27"/>
      <c r="M18" s="26"/>
      <c r="N18" s="27"/>
      <c r="O18" s="27"/>
      <c r="P18" s="27"/>
      <c r="Q18" s="27"/>
      <c r="R18" s="27"/>
      <c r="S18" s="27"/>
      <c r="T18" s="27"/>
      <c r="U18" s="27"/>
      <c r="V18" s="27"/>
      <c r="W18" s="26"/>
    </row>
    <row r="19" spans="1:23" x14ac:dyDescent="0.3">
      <c r="A19" s="26"/>
      <c r="B19" s="46" t="s">
        <v>106</v>
      </c>
      <c r="C19" s="38"/>
      <c r="D19" s="38"/>
      <c r="E19" s="38"/>
      <c r="F19" s="26"/>
      <c r="G19" s="27"/>
      <c r="H19" s="36"/>
      <c r="I19" s="36"/>
      <c r="J19" s="36"/>
      <c r="K19" s="36"/>
      <c r="L19" s="27"/>
      <c r="M19" s="26"/>
      <c r="N19" s="27"/>
      <c r="O19" s="27"/>
      <c r="P19" s="27"/>
      <c r="Q19" s="27"/>
      <c r="R19" s="27"/>
      <c r="S19" s="27"/>
      <c r="T19" s="27"/>
      <c r="U19" s="27"/>
      <c r="V19" s="27"/>
      <c r="W19" s="26"/>
    </row>
    <row r="20" spans="1:23" x14ac:dyDescent="0.3">
      <c r="A20" s="26"/>
      <c r="B20" s="38"/>
      <c r="C20" s="38"/>
      <c r="D20" s="38"/>
      <c r="E20" s="38"/>
      <c r="F20" s="26"/>
      <c r="G20" s="27"/>
      <c r="H20" s="36"/>
      <c r="I20" s="36"/>
      <c r="J20" s="36"/>
      <c r="K20" s="36"/>
      <c r="L20" s="27"/>
      <c r="M20" s="26"/>
      <c r="N20" s="27"/>
      <c r="O20" s="27"/>
      <c r="P20" s="27"/>
      <c r="Q20" s="27"/>
      <c r="R20" s="27"/>
      <c r="S20" s="27"/>
      <c r="T20" s="27"/>
      <c r="U20" s="27"/>
      <c r="V20" s="27"/>
      <c r="W20" s="26"/>
    </row>
    <row r="21" spans="1:23" x14ac:dyDescent="0.3">
      <c r="A21" s="26"/>
      <c r="B21" s="27"/>
      <c r="C21" s="27"/>
      <c r="D21" s="27"/>
      <c r="E21" s="27"/>
      <c r="F21" s="26"/>
      <c r="G21" s="27"/>
      <c r="H21" s="50" t="s">
        <v>94</v>
      </c>
      <c r="I21" s="36"/>
      <c r="J21" s="36"/>
      <c r="K21" s="36"/>
      <c r="L21" s="27"/>
      <c r="M21" s="26"/>
      <c r="N21" s="27"/>
      <c r="O21" s="27"/>
      <c r="P21" s="27"/>
      <c r="Q21" s="27"/>
      <c r="R21" s="27"/>
      <c r="S21" s="27"/>
      <c r="T21" s="27"/>
      <c r="U21" s="27"/>
      <c r="V21" s="27"/>
      <c r="W21" s="26"/>
    </row>
    <row r="22" spans="1:23" x14ac:dyDescent="0.3">
      <c r="A22" s="26"/>
      <c r="B22" s="27"/>
      <c r="C22" s="27"/>
      <c r="D22" s="27"/>
      <c r="E22" s="27"/>
      <c r="F22" s="26"/>
      <c r="G22" s="27"/>
      <c r="H22" s="27"/>
      <c r="I22" s="27"/>
      <c r="J22" s="27"/>
      <c r="K22" s="27"/>
      <c r="L22" s="27"/>
      <c r="M22" s="26"/>
      <c r="N22" s="27"/>
      <c r="O22" s="27"/>
      <c r="P22" s="27"/>
      <c r="Q22" s="27"/>
      <c r="R22" s="27"/>
      <c r="S22" s="27"/>
      <c r="T22" s="27"/>
      <c r="U22" s="27"/>
      <c r="V22" s="27"/>
      <c r="W22" s="26"/>
    </row>
    <row r="23" spans="1:23" x14ac:dyDescent="0.3">
      <c r="A23" s="26"/>
      <c r="B23" s="49" t="s">
        <v>108</v>
      </c>
      <c r="C23" s="36"/>
      <c r="D23" s="36"/>
      <c r="E23" s="36"/>
      <c r="F23" s="26"/>
      <c r="G23" s="27"/>
      <c r="H23" s="27"/>
      <c r="I23" s="27"/>
      <c r="J23" s="27"/>
      <c r="K23" s="27"/>
      <c r="L23" s="27"/>
      <c r="M23" s="26"/>
      <c r="N23" s="27"/>
      <c r="O23" s="27"/>
      <c r="P23" s="27"/>
      <c r="Q23" s="27"/>
      <c r="R23" s="27"/>
      <c r="S23" s="27"/>
      <c r="T23" s="27"/>
      <c r="U23" s="27"/>
      <c r="V23" s="27"/>
      <c r="W23" s="26"/>
    </row>
    <row r="24" spans="1:23" x14ac:dyDescent="0.3">
      <c r="A24" s="26"/>
      <c r="B24" s="36"/>
      <c r="C24" s="36"/>
      <c r="D24" s="36"/>
      <c r="E24" s="36"/>
      <c r="F24" s="26"/>
      <c r="G24" s="27"/>
      <c r="H24" s="27"/>
      <c r="I24" s="27"/>
      <c r="J24" s="27"/>
      <c r="K24" s="27"/>
      <c r="L24" s="27"/>
      <c r="M24" s="26"/>
      <c r="N24" s="27"/>
      <c r="O24" s="27"/>
      <c r="P24" s="27"/>
      <c r="Q24" s="27"/>
      <c r="R24" s="27"/>
      <c r="S24" s="27"/>
      <c r="T24" s="27"/>
      <c r="U24" s="27"/>
      <c r="V24" s="27"/>
      <c r="W24" s="26"/>
    </row>
    <row r="25" spans="1:23" x14ac:dyDescent="0.3">
      <c r="A25" s="26"/>
      <c r="B25" s="36"/>
      <c r="C25" s="36"/>
      <c r="D25" s="36"/>
      <c r="E25" s="36"/>
      <c r="F25" s="26"/>
      <c r="G25" s="27"/>
      <c r="H25" s="27"/>
      <c r="I25" s="27"/>
      <c r="J25" s="27"/>
      <c r="K25" s="27"/>
      <c r="L25" s="27"/>
      <c r="M25" s="26"/>
      <c r="N25" s="27"/>
      <c r="O25" s="27"/>
      <c r="P25" s="27"/>
      <c r="Q25" s="27"/>
      <c r="R25" s="27"/>
      <c r="S25" s="27"/>
      <c r="T25" s="27"/>
      <c r="U25" s="27"/>
      <c r="V25" s="27"/>
      <c r="W25" s="26"/>
    </row>
    <row r="26" spans="1:23" x14ac:dyDescent="0.3">
      <c r="A26" s="26"/>
      <c r="B26" s="36"/>
      <c r="C26" s="36"/>
      <c r="D26" s="36"/>
      <c r="E26" s="36"/>
      <c r="F26" s="26"/>
      <c r="G26" s="27"/>
      <c r="H26" s="27"/>
      <c r="I26" s="27"/>
      <c r="J26" s="27"/>
      <c r="K26" s="27"/>
      <c r="L26" s="27"/>
      <c r="M26" s="26"/>
      <c r="N26" s="27"/>
      <c r="O26" s="27"/>
      <c r="P26" s="27"/>
      <c r="Q26" s="27"/>
      <c r="R26" s="27"/>
      <c r="S26" s="27"/>
      <c r="T26" s="27"/>
      <c r="U26" s="27"/>
      <c r="V26" s="27"/>
      <c r="W26" s="26"/>
    </row>
    <row r="27" spans="1:23" x14ac:dyDescent="0.3">
      <c r="A27" s="26"/>
      <c r="B27" s="36"/>
      <c r="C27" s="36"/>
      <c r="D27" s="36"/>
      <c r="E27" s="36"/>
      <c r="F27" s="26"/>
      <c r="G27" s="27"/>
      <c r="H27" s="27"/>
      <c r="I27" s="27"/>
      <c r="J27" s="27"/>
      <c r="K27" s="27"/>
      <c r="L27" s="27"/>
      <c r="M27" s="26"/>
      <c r="N27" s="27"/>
      <c r="O27" s="27"/>
      <c r="P27" s="27"/>
      <c r="Q27" s="27"/>
      <c r="R27" s="27"/>
      <c r="S27" s="27"/>
      <c r="T27" s="27"/>
      <c r="U27" s="27"/>
      <c r="V27" s="27"/>
      <c r="W27" s="26"/>
    </row>
    <row r="28" spans="1:23" x14ac:dyDescent="0.3">
      <c r="A28" s="26"/>
      <c r="B28" s="36"/>
      <c r="C28" s="36"/>
      <c r="D28" s="36"/>
      <c r="E28" s="36"/>
      <c r="F28" s="26"/>
      <c r="G28" s="26"/>
      <c r="H28" s="26"/>
      <c r="I28" s="26"/>
      <c r="J28" s="26"/>
      <c r="K28" s="26"/>
      <c r="L28" s="26"/>
      <c r="M28" s="26"/>
      <c r="N28" s="26"/>
      <c r="O28" s="26"/>
      <c r="P28" s="26"/>
      <c r="Q28" s="26"/>
      <c r="R28" s="26"/>
      <c r="S28" s="26"/>
      <c r="T28" s="26"/>
      <c r="U28" s="26"/>
      <c r="V28" s="26"/>
      <c r="W28" s="26"/>
    </row>
    <row r="29" spans="1:23" x14ac:dyDescent="0.3">
      <c r="A29" s="26"/>
      <c r="B29" s="36"/>
      <c r="C29" s="36"/>
      <c r="D29" s="36"/>
      <c r="E29" s="36"/>
      <c r="F29" s="26"/>
      <c r="G29" s="27"/>
      <c r="H29" s="27"/>
      <c r="I29" s="27"/>
      <c r="J29" s="27"/>
      <c r="K29" s="27"/>
      <c r="L29" s="27"/>
      <c r="M29" s="26"/>
      <c r="N29" s="27"/>
      <c r="O29" s="27"/>
      <c r="P29" s="27"/>
      <c r="Q29" s="27"/>
      <c r="R29" s="27"/>
      <c r="S29" s="27"/>
      <c r="T29" s="27"/>
      <c r="U29" s="27"/>
      <c r="V29" s="27"/>
      <c r="W29" s="26"/>
    </row>
    <row r="30" spans="1:23" x14ac:dyDescent="0.3">
      <c r="A30" s="26"/>
      <c r="B30" s="36"/>
      <c r="C30" s="36"/>
      <c r="D30" s="36"/>
      <c r="E30" s="36"/>
      <c r="F30" s="26"/>
      <c r="G30" s="27"/>
      <c r="H30" s="27"/>
      <c r="I30" s="27"/>
      <c r="J30" s="27"/>
      <c r="K30" s="27"/>
      <c r="L30" s="27"/>
      <c r="M30" s="26"/>
      <c r="N30" s="27"/>
      <c r="O30" s="27"/>
      <c r="P30" s="27"/>
      <c r="Q30" s="27"/>
      <c r="R30" s="27"/>
      <c r="S30" s="27"/>
      <c r="T30" s="27"/>
      <c r="U30" s="27"/>
      <c r="V30" s="27"/>
      <c r="W30" s="26"/>
    </row>
    <row r="31" spans="1:23" x14ac:dyDescent="0.3">
      <c r="A31" s="26"/>
      <c r="B31" s="27"/>
      <c r="C31" s="27"/>
      <c r="D31" s="27"/>
      <c r="E31" s="27"/>
      <c r="F31" s="26"/>
      <c r="G31" s="27"/>
      <c r="H31" s="27"/>
      <c r="I31" s="27"/>
      <c r="J31" s="27"/>
      <c r="K31" s="27"/>
      <c r="L31" s="27"/>
      <c r="M31" s="26"/>
      <c r="N31" s="27"/>
      <c r="O31" s="27"/>
      <c r="P31" s="27"/>
      <c r="Q31" s="27"/>
      <c r="R31" s="27"/>
      <c r="S31" s="27"/>
      <c r="T31" s="27"/>
      <c r="U31" s="27"/>
      <c r="V31" s="27"/>
      <c r="W31" s="26"/>
    </row>
    <row r="32" spans="1:23" x14ac:dyDescent="0.3">
      <c r="A32" s="26"/>
      <c r="B32" s="27"/>
      <c r="C32" s="27"/>
      <c r="D32" s="27"/>
      <c r="E32" s="27"/>
      <c r="F32" s="26"/>
      <c r="G32" s="27"/>
      <c r="H32" s="27"/>
      <c r="I32" s="27"/>
      <c r="J32" s="27"/>
      <c r="K32" s="27"/>
      <c r="L32" s="27"/>
      <c r="M32" s="26"/>
      <c r="N32" s="27"/>
      <c r="O32" s="27"/>
      <c r="P32" s="27"/>
      <c r="Q32" s="27"/>
      <c r="R32" s="27"/>
      <c r="S32" s="27"/>
      <c r="T32" s="27"/>
      <c r="U32" s="27"/>
      <c r="V32" s="27"/>
      <c r="W32" s="26"/>
    </row>
    <row r="33" spans="1:23" x14ac:dyDescent="0.3">
      <c r="A33" s="26"/>
      <c r="B33" s="27"/>
      <c r="C33" s="27"/>
      <c r="D33" s="27"/>
      <c r="E33" s="27"/>
      <c r="F33" s="26"/>
      <c r="G33" s="27"/>
      <c r="H33" s="27"/>
      <c r="I33" s="27"/>
      <c r="J33" s="27"/>
      <c r="K33" s="27"/>
      <c r="L33" s="27"/>
      <c r="M33" s="26"/>
      <c r="N33" s="27"/>
      <c r="O33" s="27"/>
      <c r="P33" s="27"/>
      <c r="Q33" s="27"/>
      <c r="R33" s="27"/>
      <c r="S33" s="27"/>
      <c r="T33" s="27"/>
      <c r="U33" s="27"/>
      <c r="V33" s="27"/>
      <c r="W33" s="26"/>
    </row>
    <row r="34" spans="1:23" x14ac:dyDescent="0.3">
      <c r="A34" s="26"/>
      <c r="B34" s="27"/>
      <c r="C34" s="27"/>
      <c r="D34" s="27"/>
      <c r="E34" s="27"/>
      <c r="F34" s="26"/>
      <c r="G34" s="27"/>
      <c r="H34" s="27"/>
      <c r="I34" s="27"/>
      <c r="J34" s="27"/>
      <c r="K34" s="27"/>
      <c r="L34" s="27"/>
      <c r="M34" s="26"/>
      <c r="N34" s="27"/>
      <c r="O34" s="27"/>
      <c r="P34" s="27"/>
      <c r="Q34" s="27"/>
      <c r="R34" s="27"/>
      <c r="S34" s="27"/>
      <c r="T34" s="27"/>
      <c r="U34" s="27"/>
      <c r="V34" s="27"/>
      <c r="W34" s="26"/>
    </row>
    <row r="35" spans="1:23" x14ac:dyDescent="0.3">
      <c r="A35" s="26"/>
      <c r="B35" s="27"/>
      <c r="C35" s="27"/>
      <c r="D35" s="27"/>
      <c r="E35" s="27"/>
      <c r="F35" s="26"/>
      <c r="G35" s="27"/>
      <c r="H35" s="27"/>
      <c r="I35" s="27"/>
      <c r="J35" s="27"/>
      <c r="K35" s="27"/>
      <c r="L35" s="27"/>
      <c r="M35" s="26"/>
      <c r="N35" s="27"/>
      <c r="O35" s="27"/>
      <c r="P35" s="27"/>
      <c r="Q35" s="27"/>
      <c r="R35" s="27"/>
      <c r="S35" s="27"/>
      <c r="T35" s="27"/>
      <c r="U35" s="27"/>
      <c r="V35" s="27"/>
      <c r="W35" s="26"/>
    </row>
    <row r="36" spans="1:23" x14ac:dyDescent="0.3">
      <c r="A36" s="26"/>
      <c r="B36" s="27"/>
      <c r="C36" s="27"/>
      <c r="D36" s="27"/>
      <c r="E36" s="27"/>
      <c r="F36" s="26"/>
      <c r="G36" s="27"/>
      <c r="H36" s="27"/>
      <c r="I36" s="27"/>
      <c r="J36" s="27"/>
      <c r="K36" s="27"/>
      <c r="L36" s="27"/>
      <c r="M36" s="26"/>
      <c r="N36" s="27"/>
      <c r="O36" s="27"/>
      <c r="P36" s="27"/>
      <c r="Q36" s="27"/>
      <c r="R36" s="27"/>
      <c r="S36" s="27"/>
      <c r="T36" s="27"/>
      <c r="U36" s="27"/>
      <c r="V36" s="27"/>
      <c r="W36" s="26"/>
    </row>
    <row r="37" spans="1:23" x14ac:dyDescent="0.3">
      <c r="A37" s="26"/>
      <c r="B37" s="27"/>
      <c r="C37" s="27"/>
      <c r="D37" s="27"/>
      <c r="E37" s="27"/>
      <c r="F37" s="26"/>
      <c r="G37" s="27"/>
      <c r="H37" s="27"/>
      <c r="I37" s="27"/>
      <c r="J37" s="27"/>
      <c r="K37" s="27"/>
      <c r="L37" s="27"/>
      <c r="M37" s="26"/>
      <c r="N37" s="27"/>
      <c r="O37" s="27"/>
      <c r="P37" s="27"/>
      <c r="Q37" s="27"/>
      <c r="R37" s="27"/>
      <c r="S37" s="27"/>
      <c r="T37" s="27"/>
      <c r="U37" s="27"/>
      <c r="V37" s="27"/>
      <c r="W37" s="26"/>
    </row>
    <row r="38" spans="1:23" x14ac:dyDescent="0.3">
      <c r="A38" s="26"/>
      <c r="B38" s="27"/>
      <c r="C38" s="27"/>
      <c r="D38" s="27"/>
      <c r="E38" s="27"/>
      <c r="F38" s="26"/>
      <c r="G38" s="27"/>
      <c r="H38" s="27"/>
      <c r="I38" s="27"/>
      <c r="J38" s="27"/>
      <c r="K38" s="27"/>
      <c r="L38" s="27"/>
      <c r="M38" s="26"/>
      <c r="N38" s="27"/>
      <c r="O38" s="27"/>
      <c r="P38" s="27"/>
      <c r="Q38" s="27"/>
      <c r="R38" s="27"/>
      <c r="S38" s="27"/>
      <c r="T38" s="27"/>
      <c r="U38" s="27"/>
      <c r="V38" s="27"/>
      <c r="W38" s="26"/>
    </row>
    <row r="39" spans="1:23" x14ac:dyDescent="0.3">
      <c r="A39" s="26"/>
      <c r="B39" s="27"/>
      <c r="C39" s="27"/>
      <c r="D39" s="27"/>
      <c r="E39" s="27"/>
      <c r="F39" s="26"/>
      <c r="G39" s="27"/>
      <c r="H39" s="27"/>
      <c r="I39" s="27"/>
      <c r="J39" s="27"/>
      <c r="K39" s="27"/>
      <c r="L39" s="27"/>
      <c r="M39" s="26"/>
      <c r="N39" s="27"/>
      <c r="O39" s="27"/>
      <c r="P39" s="27"/>
      <c r="Q39" s="27"/>
      <c r="R39" s="27"/>
      <c r="S39" s="27"/>
      <c r="T39" s="27"/>
      <c r="U39" s="27"/>
      <c r="V39" s="27"/>
      <c r="W39" s="26"/>
    </row>
    <row r="40" spans="1:23" x14ac:dyDescent="0.3">
      <c r="A40" s="26"/>
      <c r="B40" s="27"/>
      <c r="C40" s="27"/>
      <c r="D40" s="27"/>
      <c r="E40" s="27"/>
      <c r="F40" s="26"/>
      <c r="G40" s="27"/>
      <c r="H40" s="27"/>
      <c r="I40" s="27"/>
      <c r="J40" s="27"/>
      <c r="K40" s="27"/>
      <c r="L40" s="27"/>
      <c r="M40" s="26"/>
      <c r="N40" s="27"/>
      <c r="O40" s="27"/>
      <c r="P40" s="27"/>
      <c r="Q40" s="27"/>
      <c r="R40" s="27"/>
      <c r="S40" s="27"/>
      <c r="T40" s="27"/>
      <c r="U40" s="27"/>
      <c r="V40" s="27"/>
      <c r="W40" s="26"/>
    </row>
    <row r="41" spans="1:23" x14ac:dyDescent="0.3">
      <c r="A41" s="26"/>
      <c r="B41" s="27"/>
      <c r="C41" s="27"/>
      <c r="D41" s="27"/>
      <c r="E41" s="27"/>
      <c r="F41" s="26"/>
      <c r="G41" s="27"/>
      <c r="H41" s="27"/>
      <c r="I41" s="27"/>
      <c r="J41" s="27"/>
      <c r="K41" s="27"/>
      <c r="L41" s="27"/>
      <c r="M41" s="26"/>
      <c r="N41" s="27"/>
      <c r="O41" s="27"/>
      <c r="P41" s="27"/>
      <c r="Q41" s="27"/>
      <c r="R41" s="27"/>
      <c r="S41" s="27"/>
      <c r="T41" s="27"/>
      <c r="U41" s="27"/>
      <c r="V41" s="27"/>
      <c r="W41" s="26"/>
    </row>
    <row r="42" spans="1:23" x14ac:dyDescent="0.3">
      <c r="A42" s="26"/>
      <c r="B42" s="27"/>
      <c r="C42" s="27"/>
      <c r="D42" s="27"/>
      <c r="E42" s="27"/>
      <c r="F42" s="26"/>
      <c r="G42" s="27"/>
      <c r="H42" s="27"/>
      <c r="I42" s="27"/>
      <c r="J42" s="27"/>
      <c r="K42" s="27"/>
      <c r="L42" s="27"/>
      <c r="M42" s="26"/>
      <c r="N42" s="27"/>
      <c r="O42" s="27"/>
      <c r="P42" s="27"/>
      <c r="Q42" s="27"/>
      <c r="R42" s="27"/>
      <c r="S42" s="27"/>
      <c r="T42" s="27"/>
      <c r="U42" s="27"/>
      <c r="V42" s="27"/>
      <c r="W42" s="26"/>
    </row>
    <row r="43" spans="1:23" x14ac:dyDescent="0.3">
      <c r="A43" s="26"/>
      <c r="B43" s="27"/>
      <c r="C43" s="27"/>
      <c r="D43" s="27"/>
      <c r="E43" s="27"/>
      <c r="F43" s="26"/>
      <c r="G43" s="27"/>
      <c r="H43" s="27"/>
      <c r="I43" s="27"/>
      <c r="J43" s="27"/>
      <c r="K43" s="27"/>
      <c r="L43" s="27"/>
      <c r="M43" s="26"/>
      <c r="N43" s="27"/>
      <c r="O43" s="27"/>
      <c r="P43" s="27"/>
      <c r="Q43" s="27"/>
      <c r="R43" s="27"/>
      <c r="S43" s="27"/>
      <c r="T43" s="27"/>
      <c r="U43" s="27"/>
      <c r="V43" s="27"/>
      <c r="W43" s="26"/>
    </row>
    <row r="44" spans="1:23" x14ac:dyDescent="0.3">
      <c r="A44" s="26"/>
      <c r="B44" s="27"/>
      <c r="C44" s="27"/>
      <c r="D44" s="27"/>
      <c r="E44" s="27"/>
      <c r="F44" s="26"/>
      <c r="G44" s="27"/>
      <c r="H44" s="27"/>
      <c r="I44" s="27"/>
      <c r="J44" s="27"/>
      <c r="K44" s="27"/>
      <c r="L44" s="27"/>
      <c r="M44" s="26"/>
      <c r="N44" s="27"/>
      <c r="O44" s="27"/>
      <c r="P44" s="27"/>
      <c r="Q44" s="27"/>
      <c r="R44" s="27"/>
      <c r="S44" s="27"/>
      <c r="T44" s="27"/>
      <c r="U44" s="27"/>
      <c r="V44" s="27"/>
      <c r="W44" s="26"/>
    </row>
    <row r="45" spans="1:23" x14ac:dyDescent="0.3">
      <c r="A45" s="26"/>
      <c r="B45" s="27"/>
      <c r="C45" s="27"/>
      <c r="D45" s="27"/>
      <c r="E45" s="27"/>
      <c r="F45" s="26"/>
      <c r="G45" s="27"/>
      <c r="H45" s="27"/>
      <c r="I45" s="27"/>
      <c r="J45" s="27"/>
      <c r="K45" s="27"/>
      <c r="L45" s="27"/>
      <c r="M45" s="26"/>
      <c r="N45" s="27"/>
      <c r="O45" s="27"/>
      <c r="P45" s="27"/>
      <c r="Q45" s="27"/>
      <c r="R45" s="27"/>
      <c r="S45" s="27"/>
      <c r="T45" s="27"/>
      <c r="U45" s="27"/>
      <c r="V45" s="27"/>
      <c r="W45" s="26"/>
    </row>
    <row r="46" spans="1:23" x14ac:dyDescent="0.3">
      <c r="A46" s="26"/>
      <c r="B46" s="27"/>
      <c r="C46" s="27"/>
      <c r="D46" s="27"/>
      <c r="E46" s="27"/>
      <c r="F46" s="26"/>
      <c r="G46" s="27"/>
      <c r="H46" s="27"/>
      <c r="I46" s="27"/>
      <c r="J46" s="27"/>
      <c r="K46" s="27"/>
      <c r="L46" s="27"/>
      <c r="M46" s="26"/>
      <c r="N46" s="27"/>
      <c r="O46" s="27"/>
      <c r="P46" s="27"/>
      <c r="Q46" s="27"/>
      <c r="R46" s="27"/>
      <c r="S46" s="27"/>
      <c r="T46" s="27"/>
      <c r="U46" s="27"/>
      <c r="V46" s="27"/>
      <c r="W46" s="26"/>
    </row>
    <row r="47" spans="1:23" x14ac:dyDescent="0.3">
      <c r="A47" s="26"/>
      <c r="B47" s="26"/>
      <c r="C47" s="26"/>
      <c r="D47" s="26"/>
      <c r="E47" s="26"/>
      <c r="F47" s="26"/>
      <c r="G47" s="26"/>
      <c r="H47" s="26"/>
      <c r="I47" s="26"/>
      <c r="J47" s="26"/>
      <c r="K47" s="26"/>
      <c r="L47" s="26"/>
      <c r="M47" s="26"/>
      <c r="N47" s="26"/>
      <c r="O47" s="26"/>
      <c r="P47" s="26"/>
      <c r="Q47" s="26"/>
      <c r="R47" s="26"/>
      <c r="S47" s="26"/>
      <c r="T47" s="26"/>
      <c r="U47" s="26"/>
      <c r="V47" s="26"/>
      <c r="W47" s="26"/>
    </row>
    <row r="48" spans="1:23" x14ac:dyDescent="0.3">
      <c r="A48" s="26"/>
      <c r="B48" s="27"/>
      <c r="C48" s="27"/>
      <c r="D48" s="27"/>
      <c r="E48" s="27"/>
      <c r="F48" s="27"/>
      <c r="G48" s="27"/>
      <c r="H48" s="27"/>
      <c r="I48" s="27"/>
      <c r="J48" s="27"/>
      <c r="K48" s="27"/>
      <c r="L48" s="27"/>
      <c r="M48" s="26"/>
      <c r="N48" s="27"/>
      <c r="O48" s="27"/>
      <c r="P48" s="27"/>
      <c r="Q48" s="27"/>
      <c r="R48" s="27"/>
      <c r="S48" s="27"/>
      <c r="T48" s="27"/>
      <c r="U48" s="27"/>
      <c r="V48" s="27"/>
      <c r="W48" s="26"/>
    </row>
    <row r="49" spans="1:23" x14ac:dyDescent="0.3">
      <c r="A49" s="26"/>
      <c r="B49" s="27"/>
      <c r="C49" s="27"/>
      <c r="D49" s="27"/>
      <c r="E49" s="27"/>
      <c r="F49" s="27"/>
      <c r="G49" s="27"/>
      <c r="H49" s="27"/>
      <c r="I49" s="27"/>
      <c r="J49" s="27"/>
      <c r="K49" s="27"/>
      <c r="L49" s="27"/>
      <c r="M49" s="26"/>
      <c r="N49" s="27"/>
      <c r="O49" s="27"/>
      <c r="P49" s="27"/>
      <c r="Q49" s="27"/>
      <c r="R49" s="27"/>
      <c r="S49" s="27"/>
      <c r="T49" s="27"/>
      <c r="U49" s="27"/>
      <c r="V49" s="27"/>
      <c r="W49" s="26"/>
    </row>
    <row r="50" spans="1:23" x14ac:dyDescent="0.3">
      <c r="A50" s="26"/>
      <c r="B50" s="27"/>
      <c r="C50" s="27"/>
      <c r="D50" s="27"/>
      <c r="E50" s="27"/>
      <c r="F50" s="27"/>
      <c r="G50" s="27"/>
      <c r="H50" s="27"/>
      <c r="I50" s="27"/>
      <c r="J50" s="27"/>
      <c r="K50" s="27"/>
      <c r="L50" s="27"/>
      <c r="M50" s="26"/>
      <c r="N50" s="27"/>
      <c r="O50" s="27"/>
      <c r="P50" s="27"/>
      <c r="Q50" s="27"/>
      <c r="R50" s="27"/>
      <c r="S50" s="27"/>
      <c r="T50" s="27"/>
      <c r="U50" s="27"/>
      <c r="V50" s="27"/>
      <c r="W50" s="26"/>
    </row>
    <row r="51" spans="1:23" x14ac:dyDescent="0.3">
      <c r="A51" s="26"/>
      <c r="B51" s="27"/>
      <c r="C51" s="27"/>
      <c r="D51" s="27"/>
      <c r="E51" s="27"/>
      <c r="F51" s="27"/>
      <c r="G51" s="27"/>
      <c r="H51" s="27"/>
      <c r="I51" s="27"/>
      <c r="J51" s="27"/>
      <c r="K51" s="27"/>
      <c r="L51" s="27"/>
      <c r="M51" s="26"/>
      <c r="N51" s="27"/>
      <c r="O51" s="27"/>
      <c r="P51" s="27"/>
      <c r="Q51" s="27"/>
      <c r="R51" s="27"/>
      <c r="S51" s="27"/>
      <c r="T51" s="27"/>
      <c r="U51" s="27"/>
      <c r="V51" s="27"/>
      <c r="W51" s="26"/>
    </row>
    <row r="52" spans="1:23" x14ac:dyDescent="0.3">
      <c r="A52" s="26"/>
      <c r="B52" s="27"/>
      <c r="C52" s="27"/>
      <c r="D52" s="27"/>
      <c r="E52" s="27"/>
      <c r="F52" s="27"/>
      <c r="G52" s="27"/>
      <c r="H52" s="27"/>
      <c r="I52" s="27"/>
      <c r="J52" s="27"/>
      <c r="K52" s="27"/>
      <c r="L52" s="27"/>
      <c r="M52" s="26"/>
      <c r="N52" s="27"/>
      <c r="O52" s="27"/>
      <c r="P52" s="27"/>
      <c r="Q52" s="27"/>
      <c r="R52" s="27"/>
      <c r="S52" s="27"/>
      <c r="T52" s="27"/>
      <c r="U52" s="27"/>
      <c r="V52" s="27"/>
      <c r="W52" s="26"/>
    </row>
    <row r="53" spans="1:23" x14ac:dyDescent="0.3">
      <c r="A53" s="26"/>
      <c r="B53" s="27"/>
      <c r="C53" s="27"/>
      <c r="D53" s="27"/>
      <c r="E53" s="27"/>
      <c r="F53" s="27"/>
      <c r="G53" s="27"/>
      <c r="H53" s="27"/>
      <c r="I53" s="27"/>
      <c r="J53" s="27"/>
      <c r="K53" s="27"/>
      <c r="L53" s="27"/>
      <c r="M53" s="26"/>
      <c r="N53" s="27"/>
      <c r="O53" s="27"/>
      <c r="P53" s="27"/>
      <c r="Q53" s="27"/>
      <c r="R53" s="27"/>
      <c r="S53" s="27"/>
      <c r="T53" s="27"/>
      <c r="U53" s="27"/>
      <c r="V53" s="27"/>
      <c r="W53" s="26"/>
    </row>
    <row r="54" spans="1:23" x14ac:dyDescent="0.3">
      <c r="A54" s="26"/>
      <c r="B54" s="27"/>
      <c r="C54" s="27"/>
      <c r="D54" s="27"/>
      <c r="E54" s="27"/>
      <c r="F54" s="27"/>
      <c r="G54" s="27"/>
      <c r="H54" s="27"/>
      <c r="I54" s="27"/>
      <c r="J54" s="27"/>
      <c r="K54" s="27"/>
      <c r="L54" s="27"/>
      <c r="M54" s="26"/>
      <c r="N54" s="27"/>
      <c r="O54" s="27"/>
      <c r="P54" s="27"/>
      <c r="Q54" s="27"/>
      <c r="R54" s="27"/>
      <c r="S54" s="27"/>
      <c r="T54" s="27"/>
      <c r="U54" s="27"/>
      <c r="V54" s="27"/>
      <c r="W54" s="26"/>
    </row>
    <row r="55" spans="1:23" x14ac:dyDescent="0.3">
      <c r="A55" s="26"/>
      <c r="B55" s="27"/>
      <c r="C55" s="27"/>
      <c r="D55" s="27"/>
      <c r="E55" s="27"/>
      <c r="F55" s="27"/>
      <c r="G55" s="27"/>
      <c r="H55" s="27"/>
      <c r="I55" s="27"/>
      <c r="J55" s="27"/>
      <c r="K55" s="27"/>
      <c r="L55" s="27"/>
      <c r="M55" s="26"/>
      <c r="N55" s="27"/>
      <c r="O55" s="27"/>
      <c r="P55" s="27"/>
      <c r="Q55" s="27"/>
      <c r="R55" s="27"/>
      <c r="S55" s="27"/>
      <c r="T55" s="27"/>
      <c r="U55" s="27"/>
      <c r="V55" s="27"/>
      <c r="W55" s="26"/>
    </row>
    <row r="56" spans="1:23" x14ac:dyDescent="0.3">
      <c r="A56" s="26"/>
      <c r="B56" s="27"/>
      <c r="C56" s="27"/>
      <c r="D56" s="27"/>
      <c r="E56" s="27"/>
      <c r="F56" s="27"/>
      <c r="G56" s="27"/>
      <c r="H56" s="27"/>
      <c r="I56" s="27"/>
      <c r="J56" s="27"/>
      <c r="K56" s="27"/>
      <c r="L56" s="27"/>
      <c r="M56" s="26"/>
      <c r="N56" s="27"/>
      <c r="O56" s="27"/>
      <c r="P56" s="27"/>
      <c r="Q56" s="27"/>
      <c r="R56" s="27"/>
      <c r="S56" s="27"/>
      <c r="T56" s="27"/>
      <c r="U56" s="27"/>
      <c r="V56" s="27"/>
      <c r="W56" s="26"/>
    </row>
    <row r="57" spans="1:23" x14ac:dyDescent="0.3">
      <c r="A57" s="26"/>
      <c r="B57" s="27"/>
      <c r="C57" s="27"/>
      <c r="D57" s="27"/>
      <c r="E57" s="27"/>
      <c r="F57" s="27"/>
      <c r="G57" s="27"/>
      <c r="H57" s="27"/>
      <c r="I57" s="27"/>
      <c r="J57" s="27"/>
      <c r="K57" s="27"/>
      <c r="L57" s="27"/>
      <c r="M57" s="26"/>
      <c r="N57" s="27"/>
      <c r="O57" s="27"/>
      <c r="P57" s="27"/>
      <c r="Q57" s="27"/>
      <c r="R57" s="27"/>
      <c r="S57" s="27"/>
      <c r="T57" s="27"/>
      <c r="U57" s="27"/>
      <c r="V57" s="27"/>
      <c r="W57" s="26"/>
    </row>
    <row r="58" spans="1:23" x14ac:dyDescent="0.3">
      <c r="A58" s="26"/>
      <c r="B58" s="27"/>
      <c r="C58" s="27"/>
      <c r="D58" s="27"/>
      <c r="E58" s="27"/>
      <c r="F58" s="27"/>
      <c r="G58" s="27"/>
      <c r="H58" s="27"/>
      <c r="I58" s="27"/>
      <c r="J58" s="27"/>
      <c r="K58" s="27"/>
      <c r="L58" s="27"/>
      <c r="M58" s="26"/>
      <c r="N58" s="27"/>
      <c r="O58" s="27"/>
      <c r="P58" s="27"/>
      <c r="Q58" s="27"/>
      <c r="R58" s="27"/>
      <c r="S58" s="27"/>
      <c r="T58" s="27"/>
      <c r="U58" s="27"/>
      <c r="V58" s="27"/>
      <c r="W58" s="26"/>
    </row>
    <row r="59" spans="1:23" x14ac:dyDescent="0.3">
      <c r="A59" s="26"/>
      <c r="B59" s="27"/>
      <c r="C59" s="27"/>
      <c r="D59" s="27"/>
      <c r="E59" s="27"/>
      <c r="F59" s="27"/>
      <c r="G59" s="27"/>
      <c r="H59" s="27"/>
      <c r="I59" s="27"/>
      <c r="J59" s="27"/>
      <c r="K59" s="27"/>
      <c r="L59" s="27"/>
      <c r="M59" s="26"/>
      <c r="N59" s="27"/>
      <c r="O59" s="27"/>
      <c r="P59" s="27"/>
      <c r="Q59" s="27"/>
      <c r="R59" s="27"/>
      <c r="S59" s="27"/>
      <c r="T59" s="27"/>
      <c r="U59" s="27"/>
      <c r="V59" s="27"/>
      <c r="W59" s="26"/>
    </row>
    <row r="60" spans="1:23" x14ac:dyDescent="0.3">
      <c r="A60" s="26"/>
      <c r="B60" s="27"/>
      <c r="C60" s="27"/>
      <c r="D60" s="27"/>
      <c r="E60" s="27"/>
      <c r="F60" s="27"/>
      <c r="G60" s="27"/>
      <c r="H60" s="27"/>
      <c r="I60" s="27"/>
      <c r="J60" s="27"/>
      <c r="K60" s="27"/>
      <c r="L60" s="27"/>
      <c r="M60" s="26"/>
      <c r="N60" s="27"/>
      <c r="O60" s="27"/>
      <c r="P60" s="27"/>
      <c r="Q60" s="27"/>
      <c r="R60" s="27"/>
      <c r="S60" s="27"/>
      <c r="T60" s="27"/>
      <c r="U60" s="27"/>
      <c r="V60" s="27"/>
      <c r="W60" s="26"/>
    </row>
    <row r="61" spans="1:23" x14ac:dyDescent="0.3">
      <c r="A61" s="26"/>
      <c r="B61" s="27"/>
      <c r="C61" s="27"/>
      <c r="D61" s="27"/>
      <c r="E61" s="27"/>
      <c r="F61" s="27"/>
      <c r="G61" s="27"/>
      <c r="H61" s="27"/>
      <c r="I61" s="27"/>
      <c r="J61" s="27"/>
      <c r="K61" s="27"/>
      <c r="L61" s="27"/>
      <c r="M61" s="26"/>
      <c r="N61" s="27"/>
      <c r="O61" s="27"/>
      <c r="P61" s="27"/>
      <c r="Q61" s="27"/>
      <c r="R61" s="27"/>
      <c r="S61" s="27"/>
      <c r="T61" s="27"/>
      <c r="U61" s="27"/>
      <c r="V61" s="27"/>
      <c r="W61" s="26"/>
    </row>
    <row r="62" spans="1:23" x14ac:dyDescent="0.3">
      <c r="A62" s="26"/>
      <c r="B62" s="27"/>
      <c r="C62" s="27"/>
      <c r="D62" s="27"/>
      <c r="E62" s="27"/>
      <c r="F62" s="27"/>
      <c r="G62" s="27"/>
      <c r="H62" s="27"/>
      <c r="I62" s="27"/>
      <c r="J62" s="27"/>
      <c r="K62" s="27"/>
      <c r="L62" s="27"/>
      <c r="M62" s="26"/>
      <c r="N62" s="27"/>
      <c r="O62" s="27"/>
      <c r="P62" s="27"/>
      <c r="Q62" s="27"/>
      <c r="R62" s="27"/>
      <c r="S62" s="27"/>
      <c r="T62" s="27"/>
      <c r="U62" s="27"/>
      <c r="V62" s="27"/>
      <c r="W62" s="26"/>
    </row>
    <row r="63" spans="1:23" x14ac:dyDescent="0.3">
      <c r="A63" s="26"/>
      <c r="B63" s="27"/>
      <c r="C63" s="27"/>
      <c r="D63" s="27"/>
      <c r="E63" s="27"/>
      <c r="F63" s="27"/>
      <c r="G63" s="27"/>
      <c r="H63" s="27"/>
      <c r="I63" s="27"/>
      <c r="J63" s="27"/>
      <c r="K63" s="27"/>
      <c r="L63" s="27"/>
      <c r="M63" s="26"/>
      <c r="N63" s="27"/>
      <c r="O63" s="27"/>
      <c r="P63" s="27"/>
      <c r="Q63" s="27"/>
      <c r="R63" s="27"/>
      <c r="S63" s="27"/>
      <c r="T63" s="27"/>
      <c r="U63" s="27"/>
      <c r="V63" s="27"/>
      <c r="W63" s="26"/>
    </row>
    <row r="64" spans="1:23" x14ac:dyDescent="0.3">
      <c r="A64" s="26"/>
      <c r="B64" s="27"/>
      <c r="C64" s="27"/>
      <c r="D64" s="27"/>
      <c r="E64" s="27"/>
      <c r="F64" s="27"/>
      <c r="G64" s="27"/>
      <c r="H64" s="27"/>
      <c r="I64" s="27"/>
      <c r="J64" s="27"/>
      <c r="K64" s="27"/>
      <c r="L64" s="27"/>
      <c r="M64" s="26"/>
      <c r="N64" s="27"/>
      <c r="O64" s="27"/>
      <c r="P64" s="27"/>
      <c r="Q64" s="27"/>
      <c r="R64" s="27"/>
      <c r="S64" s="27"/>
      <c r="T64" s="27"/>
      <c r="U64" s="27"/>
      <c r="V64" s="27"/>
      <c r="W64" s="26"/>
    </row>
    <row r="65" spans="1:23" x14ac:dyDescent="0.3">
      <c r="A65" s="26"/>
      <c r="B65" s="27"/>
      <c r="C65" s="27"/>
      <c r="D65" s="27"/>
      <c r="E65" s="27"/>
      <c r="F65" s="27"/>
      <c r="G65" s="27"/>
      <c r="H65" s="27"/>
      <c r="I65" s="27"/>
      <c r="J65" s="27"/>
      <c r="K65" s="27"/>
      <c r="L65" s="27"/>
      <c r="M65" s="26"/>
      <c r="N65" s="27"/>
      <c r="O65" s="27"/>
      <c r="P65" s="27"/>
      <c r="Q65" s="27"/>
      <c r="R65" s="27"/>
      <c r="S65" s="27"/>
      <c r="T65" s="27"/>
      <c r="U65" s="27"/>
      <c r="V65" s="27"/>
      <c r="W65" s="26"/>
    </row>
    <row r="66" spans="1:23" x14ac:dyDescent="0.3">
      <c r="A66" s="26"/>
      <c r="B66" s="26"/>
      <c r="C66" s="26"/>
      <c r="D66" s="26"/>
      <c r="E66" s="26"/>
      <c r="F66" s="26"/>
      <c r="G66" s="26"/>
      <c r="H66" s="26"/>
      <c r="I66" s="26"/>
      <c r="J66" s="26"/>
      <c r="K66" s="26"/>
      <c r="L66" s="26"/>
      <c r="M66" s="26"/>
      <c r="N66" s="26"/>
      <c r="O66" s="26"/>
      <c r="P66" s="26"/>
      <c r="Q66" s="26"/>
      <c r="R66" s="26"/>
      <c r="S66" s="26"/>
      <c r="T66" s="26"/>
      <c r="U66" s="26"/>
      <c r="V66" s="26"/>
      <c r="W66" s="26"/>
    </row>
    <row r="67" spans="1:23" x14ac:dyDescent="0.3">
      <c r="A67" s="26"/>
      <c r="B67" s="27"/>
      <c r="C67" s="27"/>
      <c r="D67" s="27"/>
      <c r="E67" s="27"/>
      <c r="F67" s="27"/>
      <c r="G67" s="27"/>
      <c r="H67" s="27"/>
      <c r="I67" s="27"/>
      <c r="J67" s="27"/>
      <c r="K67" s="27"/>
      <c r="L67" s="27"/>
      <c r="M67" s="27"/>
      <c r="N67" s="27"/>
      <c r="O67" s="27"/>
      <c r="P67" s="27"/>
      <c r="Q67" s="27"/>
      <c r="R67" s="27"/>
      <c r="S67" s="27"/>
      <c r="T67" s="27"/>
      <c r="U67" s="27"/>
      <c r="V67" s="27"/>
      <c r="W67" s="26"/>
    </row>
    <row r="68" spans="1:23" x14ac:dyDescent="0.3">
      <c r="A68" s="26"/>
      <c r="B68" s="27"/>
      <c r="C68" s="27"/>
      <c r="D68" s="27"/>
      <c r="E68" s="27"/>
      <c r="F68" s="27"/>
      <c r="G68" s="27"/>
      <c r="H68" s="27"/>
      <c r="I68" s="27"/>
      <c r="J68" s="27"/>
      <c r="K68" s="27"/>
      <c r="L68" s="27"/>
      <c r="M68" s="27"/>
      <c r="N68" s="27"/>
      <c r="O68" s="27"/>
      <c r="P68" s="27"/>
      <c r="Q68" s="27"/>
      <c r="R68" s="27"/>
      <c r="S68" s="27"/>
      <c r="T68" s="27"/>
      <c r="U68" s="27"/>
      <c r="V68" s="27"/>
      <c r="W68" s="26"/>
    </row>
    <row r="69" spans="1:23" x14ac:dyDescent="0.3">
      <c r="A69" s="26"/>
      <c r="B69" s="27"/>
      <c r="C69" s="27"/>
      <c r="D69" s="27"/>
      <c r="E69" s="27"/>
      <c r="F69" s="27"/>
      <c r="G69" s="27"/>
      <c r="H69" s="27"/>
      <c r="I69" s="27"/>
      <c r="J69" s="27"/>
      <c r="K69" s="27"/>
      <c r="L69" s="27"/>
      <c r="M69" s="27"/>
      <c r="N69" s="27"/>
      <c r="O69" s="27"/>
      <c r="P69" s="27"/>
      <c r="Q69" s="27"/>
      <c r="R69" s="27"/>
      <c r="S69" s="27"/>
      <c r="T69" s="27"/>
      <c r="U69" s="27"/>
      <c r="V69" s="27"/>
      <c r="W69" s="26"/>
    </row>
    <row r="70" spans="1:23" x14ac:dyDescent="0.3">
      <c r="A70" s="26"/>
      <c r="B70" s="27"/>
      <c r="C70" s="27"/>
      <c r="D70" s="27"/>
      <c r="E70" s="27"/>
      <c r="F70" s="27"/>
      <c r="G70" s="27"/>
      <c r="H70" s="27"/>
      <c r="I70" s="27"/>
      <c r="J70" s="27"/>
      <c r="K70" s="27"/>
      <c r="L70" s="27"/>
      <c r="M70" s="27"/>
      <c r="N70" s="27"/>
      <c r="O70" s="27"/>
      <c r="P70" s="27"/>
      <c r="Q70" s="27"/>
      <c r="R70" s="27"/>
      <c r="S70" s="27"/>
      <c r="T70" s="27"/>
      <c r="U70" s="27"/>
      <c r="V70" s="27"/>
      <c r="W70" s="26"/>
    </row>
    <row r="71" spans="1:23" x14ac:dyDescent="0.3">
      <c r="A71" s="26"/>
      <c r="B71" s="27"/>
      <c r="C71" s="27"/>
      <c r="D71" s="27"/>
      <c r="E71" s="27"/>
      <c r="F71" s="27"/>
      <c r="G71" s="27"/>
      <c r="H71" s="27"/>
      <c r="I71" s="27"/>
      <c r="J71" s="27"/>
      <c r="K71" s="27"/>
      <c r="L71" s="27"/>
      <c r="M71" s="27"/>
      <c r="N71" s="27"/>
      <c r="O71" s="27"/>
      <c r="P71" s="27"/>
      <c r="Q71" s="27"/>
      <c r="R71" s="27"/>
      <c r="S71" s="27"/>
      <c r="T71" s="27"/>
      <c r="U71" s="27"/>
      <c r="V71" s="27"/>
      <c r="W71" s="26"/>
    </row>
    <row r="72" spans="1:23" x14ac:dyDescent="0.3">
      <c r="A72" s="26"/>
      <c r="B72" s="27"/>
      <c r="C72" s="27"/>
      <c r="D72" s="27"/>
      <c r="E72" s="27"/>
      <c r="F72" s="27"/>
      <c r="G72" s="27"/>
      <c r="H72" s="27"/>
      <c r="I72" s="27"/>
      <c r="J72" s="27"/>
      <c r="K72" s="27"/>
      <c r="L72" s="27"/>
      <c r="M72" s="27"/>
      <c r="N72" s="27"/>
      <c r="O72" s="27"/>
      <c r="P72" s="27"/>
      <c r="Q72" s="27"/>
      <c r="R72" s="27"/>
      <c r="S72" s="27"/>
      <c r="T72" s="27"/>
      <c r="U72" s="27"/>
      <c r="V72" s="27"/>
      <c r="W72" s="26"/>
    </row>
    <row r="73" spans="1:23" x14ac:dyDescent="0.3">
      <c r="A73" s="26"/>
      <c r="B73" s="27"/>
      <c r="C73" s="27"/>
      <c r="D73" s="27"/>
      <c r="E73" s="27"/>
      <c r="F73" s="27"/>
      <c r="G73" s="27"/>
      <c r="H73" s="27"/>
      <c r="I73" s="27"/>
      <c r="J73" s="27"/>
      <c r="K73" s="27"/>
      <c r="L73" s="27"/>
      <c r="M73" s="27"/>
      <c r="N73" s="27"/>
      <c r="O73" s="27"/>
      <c r="P73" s="27"/>
      <c r="Q73" s="27"/>
      <c r="R73" s="27"/>
      <c r="S73" s="27"/>
      <c r="T73" s="27"/>
      <c r="U73" s="27"/>
      <c r="V73" s="27"/>
      <c r="W73" s="26"/>
    </row>
    <row r="74" spans="1:23" x14ac:dyDescent="0.3">
      <c r="A74" s="26"/>
      <c r="B74" s="27"/>
      <c r="C74" s="27"/>
      <c r="D74" s="27"/>
      <c r="E74" s="27"/>
      <c r="F74" s="27"/>
      <c r="G74" s="27"/>
      <c r="H74" s="27"/>
      <c r="I74" s="27"/>
      <c r="J74" s="27"/>
      <c r="K74" s="27"/>
      <c r="L74" s="27"/>
      <c r="M74" s="27"/>
      <c r="N74" s="27"/>
      <c r="O74" s="27"/>
      <c r="P74" s="27"/>
      <c r="Q74" s="27"/>
      <c r="R74" s="27"/>
      <c r="S74" s="27"/>
      <c r="T74" s="27"/>
      <c r="U74" s="27"/>
      <c r="V74" s="27"/>
      <c r="W74" s="26"/>
    </row>
    <row r="75" spans="1:23" x14ac:dyDescent="0.3">
      <c r="A75" s="26"/>
      <c r="B75" s="27"/>
      <c r="C75" s="27"/>
      <c r="D75" s="27"/>
      <c r="E75" s="27"/>
      <c r="F75" s="27"/>
      <c r="G75" s="27"/>
      <c r="H75" s="27"/>
      <c r="I75" s="27"/>
      <c r="J75" s="27"/>
      <c r="K75" s="27"/>
      <c r="L75" s="27"/>
      <c r="M75" s="27"/>
      <c r="N75" s="27"/>
      <c r="O75" s="27"/>
      <c r="P75" s="27"/>
      <c r="Q75" s="27"/>
      <c r="R75" s="27"/>
      <c r="S75" s="27"/>
      <c r="T75" s="27"/>
      <c r="U75" s="27"/>
      <c r="V75" s="27"/>
      <c r="W75" s="26"/>
    </row>
    <row r="76" spans="1:23" x14ac:dyDescent="0.3">
      <c r="A76" s="26"/>
      <c r="B76" s="27"/>
      <c r="C76" s="27"/>
      <c r="D76" s="27"/>
      <c r="E76" s="27"/>
      <c r="F76" s="27"/>
      <c r="G76" s="27"/>
      <c r="H76" s="27"/>
      <c r="I76" s="27"/>
      <c r="J76" s="27"/>
      <c r="K76" s="27"/>
      <c r="L76" s="27"/>
      <c r="M76" s="27"/>
      <c r="N76" s="27"/>
      <c r="O76" s="27"/>
      <c r="P76" s="27"/>
      <c r="Q76" s="27"/>
      <c r="R76" s="27"/>
      <c r="S76" s="27"/>
      <c r="T76" s="27"/>
      <c r="U76" s="27"/>
      <c r="V76" s="27"/>
      <c r="W76" s="26"/>
    </row>
    <row r="77" spans="1:23" x14ac:dyDescent="0.3">
      <c r="A77" s="26"/>
      <c r="B77" s="27"/>
      <c r="C77" s="27"/>
      <c r="D77" s="27"/>
      <c r="E77" s="27"/>
      <c r="F77" s="27"/>
      <c r="G77" s="27"/>
      <c r="H77" s="27"/>
      <c r="I77" s="27"/>
      <c r="J77" s="27"/>
      <c r="K77" s="27"/>
      <c r="L77" s="27"/>
      <c r="M77" s="27"/>
      <c r="N77" s="27"/>
      <c r="O77" s="27"/>
      <c r="P77" s="27"/>
      <c r="Q77" s="27"/>
      <c r="R77" s="27"/>
      <c r="S77" s="27"/>
      <c r="T77" s="27"/>
      <c r="U77" s="27"/>
      <c r="V77" s="27"/>
      <c r="W77" s="26"/>
    </row>
    <row r="78" spans="1:23" x14ac:dyDescent="0.3">
      <c r="A78" s="26"/>
      <c r="B78" s="27"/>
      <c r="C78" s="27"/>
      <c r="D78" s="27"/>
      <c r="E78" s="27"/>
      <c r="F78" s="27"/>
      <c r="G78" s="27"/>
      <c r="H78" s="27"/>
      <c r="I78" s="27"/>
      <c r="J78" s="27"/>
      <c r="K78" s="27"/>
      <c r="L78" s="27"/>
      <c r="M78" s="27"/>
      <c r="N78" s="27"/>
      <c r="O78" s="27"/>
      <c r="P78" s="27"/>
      <c r="Q78" s="27"/>
      <c r="R78" s="27"/>
      <c r="S78" s="27"/>
      <c r="T78" s="27"/>
      <c r="U78" s="27"/>
      <c r="V78" s="27"/>
      <c r="W78" s="26"/>
    </row>
    <row r="79" spans="1:23" x14ac:dyDescent="0.3">
      <c r="A79" s="26"/>
      <c r="B79" s="27"/>
      <c r="C79" s="27"/>
      <c r="D79" s="27"/>
      <c r="E79" s="27"/>
      <c r="F79" s="27"/>
      <c r="G79" s="27"/>
      <c r="H79" s="27"/>
      <c r="I79" s="27"/>
      <c r="J79" s="27"/>
      <c r="K79" s="27"/>
      <c r="L79" s="27"/>
      <c r="M79" s="27"/>
      <c r="N79" s="27"/>
      <c r="O79" s="27"/>
      <c r="P79" s="27"/>
      <c r="Q79" s="27"/>
      <c r="R79" s="27"/>
      <c r="S79" s="27"/>
      <c r="T79" s="27"/>
      <c r="U79" s="27"/>
      <c r="V79" s="27"/>
      <c r="W79" s="26"/>
    </row>
    <row r="80" spans="1:23" x14ac:dyDescent="0.3">
      <c r="A80" s="26"/>
      <c r="B80" s="27"/>
      <c r="C80" s="27"/>
      <c r="D80" s="27"/>
      <c r="E80" s="27"/>
      <c r="F80" s="27"/>
      <c r="G80" s="27"/>
      <c r="H80" s="27"/>
      <c r="I80" s="27"/>
      <c r="J80" s="27"/>
      <c r="K80" s="27"/>
      <c r="L80" s="27"/>
      <c r="M80" s="27"/>
      <c r="N80" s="27"/>
      <c r="O80" s="27"/>
      <c r="P80" s="27"/>
      <c r="Q80" s="27"/>
      <c r="R80" s="27"/>
      <c r="S80" s="27"/>
      <c r="T80" s="27"/>
      <c r="U80" s="27"/>
      <c r="V80" s="27"/>
      <c r="W80" s="26"/>
    </row>
    <row r="81" spans="1:23" x14ac:dyDescent="0.3">
      <c r="A81" s="26"/>
      <c r="B81" s="27"/>
      <c r="C81" s="27"/>
      <c r="D81" s="27"/>
      <c r="E81" s="27"/>
      <c r="F81" s="27"/>
      <c r="G81" s="27"/>
      <c r="H81" s="27"/>
      <c r="I81" s="27"/>
      <c r="J81" s="27"/>
      <c r="K81" s="27"/>
      <c r="L81" s="27"/>
      <c r="M81" s="27"/>
      <c r="N81" s="27"/>
      <c r="O81" s="27"/>
      <c r="P81" s="27"/>
      <c r="Q81" s="27"/>
      <c r="R81" s="27"/>
      <c r="S81" s="27"/>
      <c r="T81" s="27"/>
      <c r="U81" s="27"/>
      <c r="V81" s="27"/>
      <c r="W81" s="26"/>
    </row>
    <row r="82" spans="1:23" x14ac:dyDescent="0.3">
      <c r="A82" s="26"/>
      <c r="B82" s="27"/>
      <c r="C82" s="27"/>
      <c r="D82" s="27"/>
      <c r="E82" s="27"/>
      <c r="F82" s="27"/>
      <c r="G82" s="27"/>
      <c r="H82" s="27"/>
      <c r="I82" s="27"/>
      <c r="J82" s="27"/>
      <c r="K82" s="27"/>
      <c r="L82" s="27"/>
      <c r="M82" s="27"/>
      <c r="N82" s="27"/>
      <c r="O82" s="27"/>
      <c r="P82" s="27"/>
      <c r="Q82" s="27"/>
      <c r="R82" s="27"/>
      <c r="S82" s="27"/>
      <c r="T82" s="27"/>
      <c r="U82" s="27"/>
      <c r="V82" s="27"/>
      <c r="W82" s="26"/>
    </row>
    <row r="83" spans="1:23" x14ac:dyDescent="0.3">
      <c r="A83" s="26"/>
      <c r="B83" s="27"/>
      <c r="C83" s="27"/>
      <c r="D83" s="27"/>
      <c r="E83" s="27"/>
      <c r="F83" s="27"/>
      <c r="G83" s="27"/>
      <c r="H83" s="27"/>
      <c r="I83" s="27"/>
      <c r="J83" s="27"/>
      <c r="K83" s="27"/>
      <c r="L83" s="27"/>
      <c r="M83" s="27"/>
      <c r="N83" s="27"/>
      <c r="O83" s="27"/>
      <c r="P83" s="27"/>
      <c r="Q83" s="27"/>
      <c r="R83" s="27"/>
      <c r="S83" s="27"/>
      <c r="T83" s="27"/>
      <c r="U83" s="27"/>
      <c r="V83" s="27"/>
      <c r="W83" s="26"/>
    </row>
    <row r="84" spans="1:23" x14ac:dyDescent="0.3">
      <c r="A84" s="26"/>
      <c r="B84" s="27"/>
      <c r="C84" s="27"/>
      <c r="D84" s="27"/>
      <c r="E84" s="27"/>
      <c r="F84" s="27"/>
      <c r="G84" s="27"/>
      <c r="H84" s="27"/>
      <c r="I84" s="27"/>
      <c r="J84" s="27"/>
      <c r="K84" s="27"/>
      <c r="L84" s="27"/>
      <c r="M84" s="27"/>
      <c r="N84" s="27"/>
      <c r="O84" s="27"/>
      <c r="P84" s="27"/>
      <c r="Q84" s="27"/>
      <c r="R84" s="27"/>
      <c r="S84" s="27"/>
      <c r="T84" s="27"/>
      <c r="U84" s="27"/>
      <c r="V84" s="27"/>
      <c r="W84" s="26"/>
    </row>
    <row r="85" spans="1:23" x14ac:dyDescent="0.3">
      <c r="A85" s="26"/>
      <c r="B85" s="27"/>
      <c r="C85" s="27"/>
      <c r="D85" s="27"/>
      <c r="E85" s="27"/>
      <c r="F85" s="27"/>
      <c r="G85" s="27"/>
      <c r="H85" s="27"/>
      <c r="I85" s="27"/>
      <c r="J85" s="27"/>
      <c r="K85" s="27"/>
      <c r="L85" s="27"/>
      <c r="M85" s="27"/>
      <c r="N85" s="27"/>
      <c r="O85" s="27"/>
      <c r="P85" s="27"/>
      <c r="Q85" s="27"/>
      <c r="R85" s="27"/>
      <c r="S85" s="27"/>
      <c r="T85" s="27"/>
      <c r="U85" s="27"/>
      <c r="V85" s="27"/>
      <c r="W85" s="26"/>
    </row>
    <row r="86" spans="1:23" x14ac:dyDescent="0.3">
      <c r="A86" s="26"/>
      <c r="B86" s="26"/>
      <c r="C86" s="26"/>
      <c r="D86" s="26"/>
      <c r="E86" s="26"/>
      <c r="F86" s="26"/>
      <c r="G86" s="26"/>
      <c r="H86" s="26"/>
      <c r="I86" s="26"/>
      <c r="J86" s="26"/>
      <c r="K86" s="26"/>
      <c r="L86" s="26"/>
      <c r="M86" s="26"/>
      <c r="N86" s="26"/>
      <c r="O86" s="26"/>
      <c r="P86" s="26"/>
      <c r="Q86" s="26"/>
      <c r="R86" s="26"/>
      <c r="S86" s="26"/>
      <c r="T86" s="26"/>
      <c r="U86" s="26"/>
      <c r="V86" s="26"/>
      <c r="W86" s="26"/>
    </row>
    <row r="87" spans="1:23" x14ac:dyDescent="0.3">
      <c r="A87" s="26"/>
      <c r="B87" s="26"/>
      <c r="C87" s="26"/>
      <c r="D87" s="26"/>
      <c r="E87" s="26"/>
      <c r="F87" s="26"/>
      <c r="G87" s="26"/>
      <c r="H87" s="26"/>
      <c r="I87" s="26"/>
      <c r="J87" s="26"/>
      <c r="K87" s="26"/>
      <c r="L87" s="26"/>
      <c r="M87" s="26"/>
      <c r="N87" s="26"/>
      <c r="O87" s="26"/>
      <c r="P87" s="26"/>
      <c r="Q87" s="26"/>
      <c r="R87" s="26"/>
      <c r="S87" s="26"/>
      <c r="T87" s="26"/>
      <c r="U87" s="26"/>
      <c r="V87" s="26"/>
      <c r="W87" s="26"/>
    </row>
  </sheetData>
  <sortState xmlns:xlrd2="http://schemas.microsoft.com/office/spreadsheetml/2017/richdata2" ref="Y51:AA62">
    <sortCondition ref="AA51:AA62"/>
  </sortState>
  <mergeCells count="19">
    <mergeCell ref="B23:E30"/>
    <mergeCell ref="S3:V3"/>
    <mergeCell ref="H21:K21"/>
    <mergeCell ref="B14:E14"/>
    <mergeCell ref="G3:J3"/>
    <mergeCell ref="O4:R6"/>
    <mergeCell ref="B10:E10"/>
    <mergeCell ref="K3:N3"/>
    <mergeCell ref="S4:V6"/>
    <mergeCell ref="O3:R3"/>
    <mergeCell ref="B19:E20"/>
    <mergeCell ref="B3:E5"/>
    <mergeCell ref="B15:E16"/>
    <mergeCell ref="B18:E18"/>
    <mergeCell ref="B6:E6"/>
    <mergeCell ref="B11:E12"/>
    <mergeCell ref="H18:K20"/>
    <mergeCell ref="G4:J6"/>
    <mergeCell ref="K4:N6"/>
  </mergeCells>
  <dataValidations count="3">
    <dataValidation type="list" showErrorMessage="1" sqref="B11" xr:uid="{00000000-0002-0000-0900-000000000000}">
      <formula1>DashboardYearOptions</formula1>
    </dataValidation>
    <dataValidation type="list" showErrorMessage="1" sqref="B15" xr:uid="{00000000-0002-0000-0900-000001000000}">
      <formula1>"All,East,North,South,West"</formula1>
    </dataValidation>
    <dataValidation type="list" showErrorMessage="1" sqref="B19" xr:uid="{00000000-0002-0000-0900-000002000000}">
      <formula1>"All,Jan,Feb,Mar,Apr,May,Jun,Jul,Aug,Sep,Oct,Nov,Dec"</formula1>
    </dataValidation>
  </dataValidation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D38A-5698-412D-AD9C-03D560277DF1}">
  <dimension ref="C1:J107"/>
  <sheetViews>
    <sheetView workbookViewId="0">
      <selection activeCell="C2" sqref="C2:D7"/>
    </sheetView>
  </sheetViews>
  <sheetFormatPr defaultRowHeight="14.4" x14ac:dyDescent="0.3"/>
  <cols>
    <col min="5" max="5" width="22.88671875" customWidth="1"/>
  </cols>
  <sheetData>
    <row r="1" spans="3:10" x14ac:dyDescent="0.3">
      <c r="C1" s="18" t="s">
        <v>78</v>
      </c>
    </row>
    <row r="2" spans="3:10" x14ac:dyDescent="0.3">
      <c r="C2" s="22" t="s">
        <v>79</v>
      </c>
      <c r="D2" s="22">
        <f>Dashboard!$B$11</f>
        <v>2026</v>
      </c>
    </row>
    <row r="3" spans="3:10" x14ac:dyDescent="0.3">
      <c r="C3" s="22" t="s">
        <v>83</v>
      </c>
      <c r="D3" s="22" t="str">
        <f>IF(Dashboard!$B$15="All","*",Dashboard!$B$15)</f>
        <v>*</v>
      </c>
    </row>
    <row r="4" spans="3:10" x14ac:dyDescent="0.3">
      <c r="C4" s="22" t="s">
        <v>84</v>
      </c>
      <c r="D4" s="22">
        <f>IFERROR(MATCH(Dashboard!$B$19,$D$10:$D$21,0),0)</f>
        <v>0</v>
      </c>
    </row>
    <row r="5" spans="3:10" x14ac:dyDescent="0.3">
      <c r="C5" s="22" t="s">
        <v>85</v>
      </c>
      <c r="D5" s="22">
        <f>IF($D$4=0,1,$D$4)</f>
        <v>1</v>
      </c>
    </row>
    <row r="6" spans="3:10" x14ac:dyDescent="0.3">
      <c r="C6" s="22" t="s">
        <v>86</v>
      </c>
      <c r="D6" s="22">
        <f>IF($D$4=0,12,$D$4)</f>
        <v>12</v>
      </c>
    </row>
    <row r="7" spans="3:10" x14ac:dyDescent="0.3">
      <c r="C7" s="22" t="s">
        <v>87</v>
      </c>
      <c r="D7" s="22">
        <f>IF($D$4=0,SUMPRODUCT(MAX((v_sales_detail[sale_year]=$D$2)*v_sales_detail[sale_month])),$D$4)</f>
        <v>10</v>
      </c>
    </row>
    <row r="9" spans="3:10" x14ac:dyDescent="0.3">
      <c r="C9" s="18" t="s">
        <v>88</v>
      </c>
      <c r="D9" s="18" t="s">
        <v>89</v>
      </c>
      <c r="E9" s="18" t="s">
        <v>75</v>
      </c>
      <c r="F9" s="18" t="s">
        <v>74</v>
      </c>
      <c r="G9" s="18" t="s">
        <v>76</v>
      </c>
      <c r="H9" s="18" t="s">
        <v>90</v>
      </c>
      <c r="I9" s="18" t="s">
        <v>91</v>
      </c>
      <c r="J9" s="18" t="s">
        <v>74</v>
      </c>
    </row>
    <row r="10" spans="3:10" x14ac:dyDescent="0.3">
      <c r="C10" s="22">
        <v>1</v>
      </c>
      <c r="D10" s="22" t="s">
        <v>7</v>
      </c>
      <c r="E10" s="28">
        <f>SUMIFS(v_target_vs_actual[target_amount],v_target_vs_actual[target_year],$D$2,v_target_vs_actual[target_month],C10,v_target_vs_actual[region],$D$3)</f>
        <v>10536000</v>
      </c>
      <c r="F10" s="28">
        <f>SUMIFS(v_sales_detail[amount],v_sales_detail[sale_year],$D$2,v_sales_detail[sale_month],C10,v_sales_detail[region],$D$3)</f>
        <v>11000700</v>
      </c>
      <c r="G10" s="29">
        <f>F10-E10</f>
        <v>464700</v>
      </c>
      <c r="H10" s="30">
        <f>MAX(G10,0)</f>
        <v>464700</v>
      </c>
      <c r="I10" s="30">
        <f>MIN(G10,0)</f>
        <v>0</v>
      </c>
      <c r="J10" s="28">
        <f>IF(F10=0,NA(),F10)</f>
        <v>11000700</v>
      </c>
    </row>
    <row r="11" spans="3:10" x14ac:dyDescent="0.3">
      <c r="C11" s="22">
        <v>2</v>
      </c>
      <c r="D11" s="22" t="s">
        <v>8</v>
      </c>
      <c r="E11" s="28">
        <f>SUMIFS(v_target_vs_actual[target_amount],v_target_vs_actual[target_year],$D$2,v_target_vs_actual[target_month],C11,v_target_vs_actual[region],$D$3)</f>
        <v>9005000</v>
      </c>
      <c r="F11" s="28">
        <f>SUMIFS(v_sales_detail[amount],v_sales_detail[sale_year],$D$2,v_sales_detail[sale_month],C11,v_sales_detail[region],$D$3)</f>
        <v>9660300</v>
      </c>
      <c r="G11" s="29">
        <f>F11-E11</f>
        <v>655300</v>
      </c>
      <c r="H11" s="30">
        <f>MAX(G11,0)</f>
        <v>655300</v>
      </c>
      <c r="I11" s="30">
        <f>MIN(G11,0)</f>
        <v>0</v>
      </c>
      <c r="J11" s="28">
        <f>IF(F11=0,NA(),F11)</f>
        <v>9660300</v>
      </c>
    </row>
    <row r="12" spans="3:10" x14ac:dyDescent="0.3">
      <c r="C12" s="22">
        <v>3</v>
      </c>
      <c r="D12" s="22" t="s">
        <v>9</v>
      </c>
      <c r="E12" s="28">
        <f>SUMIFS(v_target_vs_actual[target_amount],v_target_vs_actual[target_year],$D$2,v_target_vs_actual[target_month],C12,v_target_vs_actual[region],$D$3)</f>
        <v>8673000</v>
      </c>
      <c r="F12" s="28">
        <f>SUMIFS(v_sales_detail[amount],v_sales_detail[sale_year],$D$2,v_sales_detail[sale_month],C12,v_sales_detail[region],$D$3)</f>
        <v>9313200</v>
      </c>
      <c r="G12" s="29">
        <f>F12-E12</f>
        <v>640200</v>
      </c>
      <c r="H12" s="30">
        <f>MAX(G12,0)</f>
        <v>640200</v>
      </c>
      <c r="I12" s="30">
        <f>MIN(G12,0)</f>
        <v>0</v>
      </c>
      <c r="J12" s="28">
        <f>IF(F12=0,NA(),F12)</f>
        <v>9313200</v>
      </c>
    </row>
    <row r="13" spans="3:10" x14ac:dyDescent="0.3">
      <c r="C13" s="22">
        <v>4</v>
      </c>
      <c r="D13" s="22" t="s">
        <v>10</v>
      </c>
      <c r="E13" s="28">
        <f>SUMIFS(v_target_vs_actual[target_amount],v_target_vs_actual[target_year],$D$2,v_target_vs_actual[target_month],C13,v_target_vs_actual[region],$D$3)</f>
        <v>8307000</v>
      </c>
      <c r="F13" s="28">
        <f>SUMIFS(v_sales_detail[amount],v_sales_detail[sale_year],$D$2,v_sales_detail[sale_month],C13,v_sales_detail[region],$D$3)</f>
        <v>8479500</v>
      </c>
      <c r="G13" s="29">
        <f>F13-E13</f>
        <v>172500</v>
      </c>
      <c r="H13" s="30">
        <f>MAX(G13,0)</f>
        <v>172500</v>
      </c>
      <c r="I13" s="30">
        <f>MIN(G13,0)</f>
        <v>0</v>
      </c>
      <c r="J13" s="28">
        <f>IF(F13=0,NA(),F13)</f>
        <v>8479500</v>
      </c>
    </row>
    <row r="14" spans="3:10" x14ac:dyDescent="0.3">
      <c r="C14" s="22">
        <v>5</v>
      </c>
      <c r="D14" s="22" t="s">
        <v>11</v>
      </c>
      <c r="E14" s="28">
        <f>SUMIFS(v_target_vs_actual[target_amount],v_target_vs_actual[target_year],$D$2,v_target_vs_actual[target_month],C14,v_target_vs_actual[region],$D$3)</f>
        <v>9652000</v>
      </c>
      <c r="F14" s="28">
        <f>SUMIFS(v_sales_detail[amount],v_sales_detail[sale_year],$D$2,v_sales_detail[sale_month],C14,v_sales_detail[region],$D$3)</f>
        <v>9746200</v>
      </c>
      <c r="G14" s="29">
        <f>F14-E14</f>
        <v>94200</v>
      </c>
      <c r="H14" s="30">
        <f>MAX(G14,0)</f>
        <v>94200</v>
      </c>
      <c r="I14" s="30">
        <f>MIN(G14,0)</f>
        <v>0</v>
      </c>
      <c r="J14" s="28">
        <f>IF(F14=0,NA(),F14)</f>
        <v>9746200</v>
      </c>
    </row>
    <row r="15" spans="3:10" x14ac:dyDescent="0.3">
      <c r="C15" s="22">
        <v>6</v>
      </c>
      <c r="D15" s="22" t="s">
        <v>12</v>
      </c>
      <c r="E15" s="28">
        <f>SUMIFS(v_target_vs_actual[target_amount],v_target_vs_actual[target_year],$D$2,v_target_vs_actual[target_month],C15,v_target_vs_actual[region],$D$3)</f>
        <v>10158000</v>
      </c>
      <c r="F15" s="28">
        <f>SUMIFS(v_sales_detail[amount],v_sales_detail[sale_year],$D$2,v_sales_detail[sale_month],C15,v_sales_detail[region],$D$3)</f>
        <v>10017300</v>
      </c>
      <c r="G15" s="29">
        <f>F15-E15</f>
        <v>-140700</v>
      </c>
      <c r="H15" s="30">
        <f>MAX(G15,0)</f>
        <v>0</v>
      </c>
      <c r="I15" s="30">
        <f>MIN(G15,0)</f>
        <v>-140700</v>
      </c>
      <c r="J15" s="28">
        <f>IF(F15=0,NA(),F15)</f>
        <v>10017300</v>
      </c>
    </row>
    <row r="16" spans="3:10" x14ac:dyDescent="0.3">
      <c r="C16" s="22">
        <v>7</v>
      </c>
      <c r="D16" s="22" t="s">
        <v>13</v>
      </c>
      <c r="E16" s="28">
        <f>SUMIFS(v_target_vs_actual[target_amount],v_target_vs_actual[target_year],$D$2,v_target_vs_actual[target_month],C16,v_target_vs_actual[region],$D$3)</f>
        <v>8373000</v>
      </c>
      <c r="F16" s="28">
        <f>SUMIFS(v_sales_detail[amount],v_sales_detail[sale_year],$D$2,v_sales_detail[sale_month],C16,v_sales_detail[region],$D$3)</f>
        <v>8746500</v>
      </c>
      <c r="G16" s="29">
        <f>F16-E16</f>
        <v>373500</v>
      </c>
      <c r="H16" s="30">
        <f>MAX(G16,0)</f>
        <v>373500</v>
      </c>
      <c r="I16" s="30">
        <f>MIN(G16,0)</f>
        <v>0</v>
      </c>
      <c r="J16" s="28">
        <f>IF(F16=0,NA(),F16)</f>
        <v>8746500</v>
      </c>
    </row>
    <row r="17" spans="3:10" x14ac:dyDescent="0.3">
      <c r="C17" s="22">
        <v>8</v>
      </c>
      <c r="D17" s="22" t="s">
        <v>14</v>
      </c>
      <c r="E17" s="28">
        <f>SUMIFS(v_target_vs_actual[target_amount],v_target_vs_actual[target_year],$D$2,v_target_vs_actual[target_month],C17,v_target_vs_actual[region],$D$3)</f>
        <v>11163000</v>
      </c>
      <c r="F17" s="28">
        <f>SUMIFS(v_sales_detail[amount],v_sales_detail[sale_year],$D$2,v_sales_detail[sale_month],C17,v_sales_detail[region],$D$3)</f>
        <v>11131900</v>
      </c>
      <c r="G17" s="29">
        <f>F17-E17</f>
        <v>-31100</v>
      </c>
      <c r="H17" s="30">
        <f>MAX(G17,0)</f>
        <v>0</v>
      </c>
      <c r="I17" s="30">
        <f>MIN(G17,0)</f>
        <v>-31100</v>
      </c>
      <c r="J17" s="28">
        <f>IF(F17=0,NA(),F17)</f>
        <v>11131900</v>
      </c>
    </row>
    <row r="18" spans="3:10" x14ac:dyDescent="0.3">
      <c r="C18" s="22">
        <v>9</v>
      </c>
      <c r="D18" s="22" t="s">
        <v>15</v>
      </c>
      <c r="E18" s="28">
        <f>SUMIFS(v_target_vs_actual[target_amount],v_target_vs_actual[target_year],$D$2,v_target_vs_actual[target_month],C18,v_target_vs_actual[region],$D$3)</f>
        <v>11051000</v>
      </c>
      <c r="F18" s="28">
        <f>SUMIFS(v_sales_detail[amount],v_sales_detail[sale_year],$D$2,v_sales_detail[sale_month],C18,v_sales_detail[region],$D$3)</f>
        <v>11360800</v>
      </c>
      <c r="G18" s="29">
        <f>F18-E18</f>
        <v>309800</v>
      </c>
      <c r="H18" s="30">
        <f>MAX(G18,0)</f>
        <v>309800</v>
      </c>
      <c r="I18" s="30">
        <f>MIN(G18,0)</f>
        <v>0</v>
      </c>
      <c r="J18" s="28">
        <f>IF(F18=0,NA(),F18)</f>
        <v>11360800</v>
      </c>
    </row>
    <row r="19" spans="3:10" x14ac:dyDescent="0.3">
      <c r="C19" s="22">
        <v>10</v>
      </c>
      <c r="D19" s="22" t="s">
        <v>16</v>
      </c>
      <c r="E19" s="28">
        <f>SUMIFS(v_target_vs_actual[target_amount],v_target_vs_actual[target_year],$D$2,v_target_vs_actual[target_month],C19,v_target_vs_actual[region],$D$3)</f>
        <v>10054000</v>
      </c>
      <c r="F19" s="28">
        <f>SUMIFS(v_sales_detail[amount],v_sales_detail[sale_year],$D$2,v_sales_detail[sale_month],C19,v_sales_detail[region],$D$3)</f>
        <v>9535700</v>
      </c>
      <c r="G19" s="29">
        <f>F19-E19</f>
        <v>-518300</v>
      </c>
      <c r="H19" s="30">
        <f>MAX(G19,0)</f>
        <v>0</v>
      </c>
      <c r="I19" s="30">
        <f>MIN(G19,0)</f>
        <v>-518300</v>
      </c>
      <c r="J19" s="28">
        <f>IF(F19=0,NA(),F19)</f>
        <v>9535700</v>
      </c>
    </row>
    <row r="20" spans="3:10" x14ac:dyDescent="0.3">
      <c r="C20" s="22">
        <v>11</v>
      </c>
      <c r="D20" s="22" t="s">
        <v>93</v>
      </c>
      <c r="E20" s="28">
        <f>SUMIFS(v_target_vs_actual[target_amount],v_target_vs_actual[target_year],$D$2,v_target_vs_actual[target_month],C20,v_target_vs_actual[region],$D$3)</f>
        <v>0</v>
      </c>
      <c r="F20" s="28">
        <f>SUMIFS(v_sales_detail[amount],v_sales_detail[sale_year],$D$2,v_sales_detail[sale_month],C20,v_sales_detail[region],$D$3)</f>
        <v>0</v>
      </c>
      <c r="G20" s="29">
        <f>F20-E20</f>
        <v>0</v>
      </c>
      <c r="H20" s="30">
        <f>MAX(G20,0)</f>
        <v>0</v>
      </c>
      <c r="I20" s="30">
        <f>MIN(G20,0)</f>
        <v>0</v>
      </c>
      <c r="J20" s="28" t="e">
        <f>IF(F20=0,NA(),F20)</f>
        <v>#N/A</v>
      </c>
    </row>
    <row r="21" spans="3:10" x14ac:dyDescent="0.3">
      <c r="C21" s="22">
        <v>12</v>
      </c>
      <c r="D21" s="22" t="s">
        <v>95</v>
      </c>
      <c r="E21" s="28">
        <f>SUMIFS(v_target_vs_actual[target_amount],v_target_vs_actual[target_year],$D$2,v_target_vs_actual[target_month],C21,v_target_vs_actual[region],$D$3)</f>
        <v>0</v>
      </c>
      <c r="F21" s="28">
        <f>SUMIFS(v_sales_detail[amount],v_sales_detail[sale_year],$D$2,v_sales_detail[sale_month],C21,v_sales_detail[region],$D$3)</f>
        <v>0</v>
      </c>
      <c r="G21" s="29">
        <f>F21-E21</f>
        <v>0</v>
      </c>
      <c r="H21" s="30">
        <f>MAX(G21,0)</f>
        <v>0</v>
      </c>
      <c r="I21" s="30">
        <f>MIN(G21,0)</f>
        <v>0</v>
      </c>
      <c r="J21" s="28" t="e">
        <f>IF(F21=0,NA(),F21)</f>
        <v>#N/A</v>
      </c>
    </row>
    <row r="23" spans="3:10" x14ac:dyDescent="0.3">
      <c r="C23" s="18" t="s">
        <v>97</v>
      </c>
    </row>
    <row r="24" spans="3:10" x14ac:dyDescent="0.3">
      <c r="C24" s="22" t="s">
        <v>74</v>
      </c>
      <c r="D24" s="31">
        <f>SUMIFS(v_sales_detail[amount],v_sales_detail[sale_year],$D$2,v_sales_detail[region],$D$3,v_sales_detail[sale_month],"&gt;="&amp;$D$5,v_sales_detail[sale_month],"&lt;="&amp;$D$6)</f>
        <v>98992100</v>
      </c>
    </row>
    <row r="25" spans="3:10" x14ac:dyDescent="0.3">
      <c r="C25" s="22" t="s">
        <v>75</v>
      </c>
      <c r="D25" s="31">
        <f>SUMIFS(v_target_vs_actual[target_amount],v_target_vs_actual[target_year],$D$2,v_target_vs_actual[region],$D$3,v_target_vs_actual[target_month],"&gt;="&amp;$D$5,v_target_vs_actual[target_month],"&lt;="&amp;$D$6)</f>
        <v>96972000</v>
      </c>
    </row>
    <row r="26" spans="3:10" x14ac:dyDescent="0.3">
      <c r="C26" s="22" t="s">
        <v>76</v>
      </c>
      <c r="D26" s="32">
        <f>D24-D25</f>
        <v>2020100</v>
      </c>
    </row>
    <row r="27" spans="3:10" x14ac:dyDescent="0.3">
      <c r="C27" s="22" t="s">
        <v>107</v>
      </c>
      <c r="D27" s="31">
        <f>COUNTIFS(v_sales_detail[sale_year],$D$2,v_sales_detail[region],$D$3,v_sales_detail[sale_month],"&gt;="&amp;$D$5,v_sales_detail[sale_month],"&lt;="&amp;$D$6)</f>
        <v>3000</v>
      </c>
    </row>
    <row r="28" spans="3:10" x14ac:dyDescent="0.3">
      <c r="C28" s="22" t="s">
        <v>98</v>
      </c>
      <c r="D28" s="33">
        <f>IFERROR(D24/D25,0)</f>
        <v>1.02083178649507</v>
      </c>
    </row>
    <row r="29" spans="3:10" x14ac:dyDescent="0.3">
      <c r="C29" s="22" t="s">
        <v>99</v>
      </c>
      <c r="D29" s="33">
        <f>MIN(D28,1)</f>
        <v>1</v>
      </c>
    </row>
    <row r="30" spans="3:10" x14ac:dyDescent="0.3">
      <c r="C30" s="22" t="s">
        <v>100</v>
      </c>
      <c r="D30" s="33">
        <f>1-D29</f>
        <v>0</v>
      </c>
    </row>
    <row r="32" spans="3:10" x14ac:dyDescent="0.3">
      <c r="C32" s="18" t="s">
        <v>92</v>
      </c>
      <c r="D32" s="18" t="s">
        <v>74</v>
      </c>
      <c r="E32" s="18" t="s">
        <v>75</v>
      </c>
      <c r="F32" s="18" t="s">
        <v>98</v>
      </c>
    </row>
    <row r="33" spans="3:7" x14ac:dyDescent="0.3">
      <c r="C33" s="22" t="s">
        <v>45</v>
      </c>
      <c r="D33" s="31">
        <f>SUMIFS(v_sales_detail[amount],v_sales_detail[sale_year],$D$2,v_sales_detail[region],C33,v_sales_detail[sale_month],"&gt;="&amp;$D$5,v_sales_detail[sale_month],"&lt;="&amp;$D$6)</f>
        <v>22278800</v>
      </c>
      <c r="E33" s="31">
        <f>SUMIFS(v_target_vs_actual[target_amount],v_target_vs_actual[target_year],$D$2,v_target_vs_actual[region],C33,v_target_vs_actual[target_month],"&gt;="&amp;$D$5,v_target_vs_actual[target_month],"&lt;="&amp;$D$6)</f>
        <v>21919000</v>
      </c>
      <c r="F33" s="33">
        <f>IFERROR(D33/E33,0)</f>
        <v>1.01641498243533</v>
      </c>
    </row>
    <row r="34" spans="3:7" x14ac:dyDescent="0.3">
      <c r="C34" s="22" t="s">
        <v>47</v>
      </c>
      <c r="D34" s="31">
        <f>SUMIFS(v_sales_detail[amount],v_sales_detail[sale_year],$D$2,v_sales_detail[region],C34,v_sales_detail[sale_month],"&gt;="&amp;$D$5,v_sales_detail[sale_month],"&lt;="&amp;$D$6)</f>
        <v>23328800</v>
      </c>
      <c r="E34" s="31">
        <f>SUMIFS(v_target_vs_actual[target_amount],v_target_vs_actual[target_year],$D$2,v_target_vs_actual[region],C34,v_target_vs_actual[target_month],"&gt;="&amp;$D$5,v_target_vs_actual[target_month],"&lt;="&amp;$D$6)</f>
        <v>22182000</v>
      </c>
      <c r="F34" s="33">
        <f>IFERROR(D34/E34,0)</f>
        <v>1.05169957623298</v>
      </c>
    </row>
    <row r="35" spans="3:7" x14ac:dyDescent="0.3">
      <c r="C35" s="22" t="s">
        <v>43</v>
      </c>
      <c r="D35" s="31">
        <f>SUMIFS(v_sales_detail[amount],v_sales_detail[sale_year],$D$2,v_sales_detail[region],C35,v_sales_detail[sale_month],"&gt;="&amp;$D$5,v_sales_detail[sale_month],"&lt;="&amp;$D$6)</f>
        <v>25222200</v>
      </c>
      <c r="E35" s="31">
        <f>SUMIFS(v_target_vs_actual[target_amount],v_target_vs_actual[target_year],$D$2,v_target_vs_actual[region],C35,v_target_vs_actual[target_month],"&gt;="&amp;$D$5,v_target_vs_actual[target_month],"&lt;="&amp;$D$6)</f>
        <v>24856000</v>
      </c>
      <c r="F35" s="33">
        <f>IFERROR(D35/E35,0)</f>
        <v>1.01473286128098</v>
      </c>
    </row>
    <row r="36" spans="3:7" x14ac:dyDescent="0.3">
      <c r="C36" s="22" t="s">
        <v>41</v>
      </c>
      <c r="D36" s="31">
        <f>SUMIFS(v_sales_detail[amount],v_sales_detail[sale_year],$D$2,v_sales_detail[region],C36,v_sales_detail[sale_month],"&gt;="&amp;$D$5,v_sales_detail[sale_month],"&lt;="&amp;$D$6)</f>
        <v>28162300</v>
      </c>
      <c r="E36" s="31">
        <f>SUMIFS(v_target_vs_actual[target_amount],v_target_vs_actual[target_year],$D$2,v_target_vs_actual[region],C36,v_target_vs_actual[target_month],"&gt;="&amp;$D$5,v_target_vs_actual[target_month],"&lt;="&amp;$D$6)</f>
        <v>28015000</v>
      </c>
      <c r="F36" s="33">
        <f>IFERROR(D36/E36,0)</f>
        <v>1.00525789755488</v>
      </c>
    </row>
    <row r="39" spans="3:7" x14ac:dyDescent="0.3">
      <c r="C39" s="18" t="s">
        <v>101</v>
      </c>
      <c r="D39" s="18" t="s">
        <v>92</v>
      </c>
      <c r="E39" s="18" t="s">
        <v>75</v>
      </c>
      <c r="F39" s="18" t="s">
        <v>74</v>
      </c>
      <c r="G39" s="18" t="s">
        <v>98</v>
      </c>
    </row>
    <row r="40" spans="3:7" x14ac:dyDescent="0.3">
      <c r="C40" s="22" t="str">
        <f>IF(OR(Dashboard!$B$15="All",INDEX(tb1people[region],1)=Dashboard!$B$15),INDEX(tb1people[salesperson],1),"")</f>
        <v>Salesperson 02</v>
      </c>
      <c r="D40" s="22" t="str">
        <f>INDEX(tb1people[region],1)</f>
        <v>South</v>
      </c>
      <c r="E40" s="28">
        <f>IF(OR(Dashboard!$B$15="All",D40=Dashboard!$B$15),SUMIFS(v_target_vs_actual[target_amount],v_target_vs_actual[salesperson],C40,v_target_vs_actual[target_year],$D$2,v_target_vs_actual[target_month],"&gt;="&amp;$D$5,v_target_vs_actual[target_month],"&lt;="&amp;$D$6),NA())</f>
        <v>12927000</v>
      </c>
      <c r="F40" s="28">
        <f>IF(OR(Dashboard!$B$15="All",D40=Dashboard!$B$15),SUMIFS(v_sales_detail[amount],v_sales_detail[salesperson],C40,v_sales_detail[sale_year],$D$2,v_sales_detail[sale_month],"&gt;="&amp;$D$5,v_sales_detail[sale_month],"&lt;="&amp;$D$6),NA())</f>
        <v>13075700</v>
      </c>
      <c r="G40" s="33">
        <f>IFERROR(F40/E40,NA())</f>
        <v>1.01150305562002</v>
      </c>
    </row>
    <row r="41" spans="3:7" x14ac:dyDescent="0.3">
      <c r="C41" s="22" t="str">
        <f>IF(OR(Dashboard!$B$15="All",INDEX(tb1people[region],2)=Dashboard!$B$15),INDEX(tb1people[salesperson],2),"")</f>
        <v>Salesperson 06</v>
      </c>
      <c r="D41" s="22" t="str">
        <f>INDEX(tb1people[region],2)</f>
        <v>North</v>
      </c>
      <c r="E41" s="28">
        <f>IF(OR(Dashboard!$B$15="All",D41=Dashboard!$B$15),SUMIFS(v_target_vs_actual[target_amount],v_target_vs_actual[salesperson],C41,v_target_vs_actual[target_year],$D$2,v_target_vs_actual[target_month],"&gt;="&amp;$D$5,v_target_vs_actual[target_month],"&lt;="&amp;$D$6),NA())</f>
        <v>10889000</v>
      </c>
      <c r="F41" s="28">
        <f>IF(OR(Dashboard!$B$15="All",D41=Dashboard!$B$15),SUMIFS(v_sales_detail[amount],v_sales_detail[salesperson],C41,v_sales_detail[sale_year],$D$2,v_sales_detail[sale_month],"&gt;="&amp;$D$5,v_sales_detail[sale_month],"&lt;="&amp;$D$6),NA())</f>
        <v>11962100</v>
      </c>
      <c r="G41" s="33">
        <f>IFERROR(F41/E41,NA())</f>
        <v>1.09854899439802</v>
      </c>
    </row>
    <row r="42" spans="3:7" x14ac:dyDescent="0.3">
      <c r="C42" s="22" t="str">
        <f>IF(OR(Dashboard!$B$15="All",INDEX(tb1people[region],3)=Dashboard!$B$15),INDEX(tb1people[salesperson],3),"")</f>
        <v>Salesperson 04</v>
      </c>
      <c r="D42" s="22" t="str">
        <f>INDEX(tb1people[region],3)</f>
        <v>South</v>
      </c>
      <c r="E42" s="28">
        <f>IF(OR(Dashboard!$B$15="All",D42=Dashboard!$B$15),SUMIFS(v_target_vs_actual[target_amount],v_target_vs_actual[salesperson],C42,v_target_vs_actual[target_year],$D$2,v_target_vs_actual[target_month],"&gt;="&amp;$D$5,v_target_vs_actual[target_month],"&lt;="&amp;$D$6),NA())</f>
        <v>11929000</v>
      </c>
      <c r="F42" s="28">
        <f>IF(OR(Dashboard!$B$15="All",D42=Dashboard!$B$15),SUMIFS(v_sales_detail[amount],v_sales_detail[salesperson],C42,v_sales_detail[sale_year],$D$2,v_sales_detail[sale_month],"&gt;="&amp;$D$5,v_sales_detail[sale_month],"&lt;="&amp;$D$6),NA())</f>
        <v>12146500</v>
      </c>
      <c r="G42" s="33">
        <f>IFERROR(F42/E42,NA())</f>
        <v>1.01823287786068</v>
      </c>
    </row>
    <row r="43" spans="3:7" x14ac:dyDescent="0.3">
      <c r="C43" s="22" t="str">
        <f>IF(OR(Dashboard!$B$15="All",INDEX(tb1people[region],4)=Dashboard!$B$15),INDEX(tb1people[salesperson],4),"")</f>
        <v>Salesperson 05</v>
      </c>
      <c r="D43" s="22" t="str">
        <f>INDEX(tb1people[region],4)</f>
        <v>West</v>
      </c>
      <c r="E43" s="28">
        <f>IF(OR(Dashboard!$B$15="All",D43=Dashboard!$B$15),SUMIFS(v_target_vs_actual[target_amount],v_target_vs_actual[salesperson],C43,v_target_vs_actual[target_year],$D$2,v_target_vs_actual[target_month],"&gt;="&amp;$D$5,v_target_vs_actual[target_month],"&lt;="&amp;$D$6),NA())</f>
        <v>14080000</v>
      </c>
      <c r="F43" s="28">
        <f>IF(OR(Dashboard!$B$15="All",D43=Dashboard!$B$15),SUMIFS(v_sales_detail[amount],v_sales_detail[salesperson],C43,v_sales_detail[sale_year],$D$2,v_sales_detail[sale_month],"&gt;="&amp;$D$5,v_sales_detail[sale_month],"&lt;="&amp;$D$6),NA())</f>
        <v>14145700</v>
      </c>
      <c r="G43" s="33">
        <f>IFERROR(F43/E43,NA())</f>
        <v>1.00466619318182</v>
      </c>
    </row>
    <row r="44" spans="3:7" x14ac:dyDescent="0.3">
      <c r="C44" s="22" t="str">
        <f>IF(OR(Dashboard!$B$15="All",INDEX(tb1people[region],5)=Dashboard!$B$15),INDEX(tb1people[salesperson],5),"")</f>
        <v>Salesperson 07</v>
      </c>
      <c r="D44" s="22" t="str">
        <f>INDEX(tb1people[region],5)</f>
        <v>North</v>
      </c>
      <c r="E44" s="28">
        <f>IF(OR(Dashboard!$B$15="All",D44=Dashboard!$B$15),SUMIFS(v_target_vs_actual[target_amount],v_target_vs_actual[salesperson],C44,v_target_vs_actual[target_year],$D$2,v_target_vs_actual[target_month],"&gt;="&amp;$D$5,v_target_vs_actual[target_month],"&lt;="&amp;$D$6),NA())</f>
        <v>11293000</v>
      </c>
      <c r="F44" s="28">
        <f>IF(OR(Dashboard!$B$15="All",D44=Dashboard!$B$15),SUMIFS(v_sales_detail[amount],v_sales_detail[salesperson],C44,v_sales_detail[sale_year],$D$2,v_sales_detail[sale_month],"&gt;="&amp;$D$5,v_sales_detail[sale_month],"&lt;="&amp;$D$6),NA())</f>
        <v>11366700</v>
      </c>
      <c r="G44" s="33">
        <f>IFERROR(F44/E44,NA())</f>
        <v>1.00652616665191</v>
      </c>
    </row>
    <row r="45" spans="3:7" x14ac:dyDescent="0.3">
      <c r="C45" s="22" t="str">
        <f>IF(OR(Dashboard!$B$15="All",INDEX(tb1people[region],6)=Dashboard!$B$15),INDEX(tb1people[salesperson],6),"")</f>
        <v>Salesperson 03</v>
      </c>
      <c r="D45" s="22" t="str">
        <f>INDEX(tb1people[region],6)</f>
        <v>East</v>
      </c>
      <c r="E45" s="28">
        <f>IF(OR(Dashboard!$B$15="All",D45=Dashboard!$B$15),SUMIFS(v_target_vs_actual[target_amount],v_target_vs_actual[salesperson],C45,v_target_vs_actual[target_year],$D$2,v_target_vs_actual[target_month],"&gt;="&amp;$D$5,v_target_vs_actual[target_month],"&lt;="&amp;$D$6),NA())</f>
        <v>11819000</v>
      </c>
      <c r="F45" s="28">
        <f>IF(OR(Dashboard!$B$15="All",D45=Dashboard!$B$15),SUMIFS(v_sales_detail[amount],v_sales_detail[salesperson],C45,v_sales_detail[sale_year],$D$2,v_sales_detail[sale_month],"&gt;="&amp;$D$5,v_sales_detail[sale_month],"&lt;="&amp;$D$6),NA())</f>
        <v>11831100</v>
      </c>
      <c r="G45" s="33">
        <f>IFERROR(F45/E45,NA())</f>
        <v>1.0010237752771</v>
      </c>
    </row>
    <row r="46" spans="3:7" x14ac:dyDescent="0.3">
      <c r="C46" s="22" t="str">
        <f>IF(OR(Dashboard!$B$15="All",INDEX(tb1people[region],7)=Dashboard!$B$15),INDEX(tb1people[salesperson],7),"")</f>
        <v>Salesperson 08</v>
      </c>
      <c r="D46" s="22" t="str">
        <f>INDEX(tb1people[region],7)</f>
        <v>West</v>
      </c>
      <c r="E46" s="28">
        <f>IF(OR(Dashboard!$B$15="All",D46=Dashboard!$B$15),SUMIFS(v_target_vs_actual[target_amount],v_target_vs_actual[salesperson],C46,v_target_vs_actual[target_year],$D$2,v_target_vs_actual[target_month],"&gt;="&amp;$D$5,v_target_vs_actual[target_month],"&lt;="&amp;$D$6),NA())</f>
        <v>13935000</v>
      </c>
      <c r="F46" s="28">
        <f>IF(OR(Dashboard!$B$15="All",D46=Dashboard!$B$15),SUMIFS(v_sales_detail[amount],v_sales_detail[salesperson],C46,v_sales_detail[sale_year],$D$2,v_sales_detail[sale_month],"&gt;="&amp;$D$5,v_sales_detail[sale_month],"&lt;="&amp;$D$6),NA())</f>
        <v>14016600</v>
      </c>
      <c r="G46" s="33">
        <f>IFERROR(F46/E46,NA())</f>
        <v>1.00585575888052</v>
      </c>
    </row>
    <row r="47" spans="3:7" x14ac:dyDescent="0.3">
      <c r="C47" s="22" t="str">
        <f>IF(OR(Dashboard!$B$15="All",INDEX(tb1people[region],8)=Dashboard!$B$15),INDEX(tb1people[salesperson],8),"")</f>
        <v>Salesperson 01</v>
      </c>
      <c r="D47" s="22" t="str">
        <f>INDEX(tb1people[region],8)</f>
        <v>East</v>
      </c>
      <c r="E47" s="28">
        <f>IF(OR(Dashboard!$B$15="All",D47=Dashboard!$B$15),SUMIFS(v_target_vs_actual[target_amount],v_target_vs_actual[salesperson],C47,v_target_vs_actual[target_year],$D$2,v_target_vs_actual[target_month],"&gt;="&amp;$D$5,v_target_vs_actual[target_month],"&lt;="&amp;$D$6),NA())</f>
        <v>10100000</v>
      </c>
      <c r="F47" s="28">
        <f>IF(OR(Dashboard!$B$15="All",D47=Dashboard!$B$15),SUMIFS(v_sales_detail[amount],v_sales_detail[salesperson],C47,v_sales_detail[sale_year],$D$2,v_sales_detail[sale_month],"&gt;="&amp;$D$5,v_sales_detail[sale_month],"&lt;="&amp;$D$6),NA())</f>
        <v>10447700</v>
      </c>
      <c r="G47" s="33">
        <f>IFERROR(F47/E47,NA())</f>
        <v>1.03442574257426</v>
      </c>
    </row>
    <row r="50" spans="3:5" x14ac:dyDescent="0.3">
      <c r="C50" s="18" t="s">
        <v>102</v>
      </c>
      <c r="D50" s="18" t="s">
        <v>74</v>
      </c>
      <c r="E50" s="18" t="s">
        <v>103</v>
      </c>
    </row>
    <row r="51" spans="3:5" x14ac:dyDescent="0.3">
      <c r="C51" s="22" t="str">
        <f>INDEX(v_product_performance[product_name],12)</f>
        <v>Mouse</v>
      </c>
      <c r="D51" s="31">
        <f>SUMIFS(v_sales_detail[amount],v_sales_detail[product_name],C51,v_sales_detail[sale_year],$D$2,v_sales_detail[region],$D$3,v_sales_detail[sale_month],"&gt;="&amp;$D$5,v_sales_detail[sale_month],"&lt;="&amp;$D$6)</f>
        <v>503400</v>
      </c>
      <c r="E51" s="34">
        <f>D51+ROW()/1000000</f>
        <v>503400.000051</v>
      </c>
    </row>
    <row r="52" spans="3:5" x14ac:dyDescent="0.3">
      <c r="C52" s="22" t="str">
        <f>INDEX(v_product_performance[product_name],11)</f>
        <v>Keyboard</v>
      </c>
      <c r="D52" s="31">
        <f>SUMIFS(v_sales_detail[amount],v_sales_detail[product_name],C52,v_sales_detail[sale_year],$D$2,v_sales_detail[region],$D$3,v_sales_detail[sale_month],"&gt;="&amp;$D$5,v_sales_detail[sale_month],"&lt;="&amp;$D$6)</f>
        <v>931200</v>
      </c>
      <c r="E52" s="34">
        <f>D52+ROW()/1000000</f>
        <v>931200.000052</v>
      </c>
    </row>
    <row r="53" spans="3:5" x14ac:dyDescent="0.3">
      <c r="C53" s="22" t="str">
        <f>INDEX(v_product_performance[product_name],10)</f>
        <v>Power Bank</v>
      </c>
      <c r="D53" s="31">
        <f>SUMIFS(v_sales_detail[amount],v_sales_detail[product_name],C53,v_sales_detail[sale_year],$D$2,v_sales_detail[region],$D$3,v_sales_detail[sale_month],"&gt;="&amp;$D$5,v_sales_detail[sale_month],"&lt;="&amp;$D$6)</f>
        <v>1060500</v>
      </c>
      <c r="E53" s="34">
        <f>D53+ROW()/1000000</f>
        <v>1060500.000053</v>
      </c>
    </row>
    <row r="54" spans="3:5" x14ac:dyDescent="0.3">
      <c r="C54" s="22" t="str">
        <f>INDEX(v_product_performance[product_name],8)</f>
        <v>Headphones</v>
      </c>
      <c r="D54" s="31">
        <f>SUMIFS(v_sales_detail[amount],v_sales_detail[product_name],C54,v_sales_detail[sale_year],$D$2,v_sales_detail[region],$D$3,v_sales_detail[sale_month],"&gt;="&amp;$D$5,v_sales_detail[sale_month],"&lt;="&amp;$D$6)</f>
        <v>1825000</v>
      </c>
      <c r="E54" s="34">
        <f>D54+ROW()/1000000</f>
        <v>1825000.000054</v>
      </c>
    </row>
    <row r="55" spans="3:5" x14ac:dyDescent="0.3">
      <c r="C55" s="22" t="str">
        <f>INDEX(v_product_performance[product_name],9)</f>
        <v>Router</v>
      </c>
      <c r="D55" s="31">
        <f>SUMIFS(v_sales_detail[amount],v_sales_detail[product_name],C55,v_sales_detail[sale_year],$D$2,v_sales_detail[region],$D$3,v_sales_detail[sale_month],"&gt;="&amp;$D$5,v_sales_detail[sale_month],"&lt;="&amp;$D$6)</f>
        <v>1716000</v>
      </c>
      <c r="E55" s="34">
        <f>D55+ROW()/1000000</f>
        <v>1716000.000055</v>
      </c>
    </row>
    <row r="56" spans="3:5" x14ac:dyDescent="0.3">
      <c r="C56" s="22" t="str">
        <f>INDEX(v_product_performance[product_name],7)</f>
        <v>Webcam</v>
      </c>
      <c r="D56" s="31">
        <f>SUMIFS(v_sales_detail[amount],v_sales_detail[product_name],C56,v_sales_detail[sale_year],$D$2,v_sales_detail[region],$D$3,v_sales_detail[sale_month],"&gt;="&amp;$D$5,v_sales_detail[sale_month],"&lt;="&amp;$D$6)</f>
        <v>2382000</v>
      </c>
      <c r="E56" s="34">
        <f>D56+ROW()/1000000</f>
        <v>2382000.000056</v>
      </c>
    </row>
    <row r="57" spans="3:5" x14ac:dyDescent="0.3">
      <c r="C57" s="22" t="str">
        <f>INDEX(v_product_performance[product_name],6)</f>
        <v>Smartwatch</v>
      </c>
      <c r="D57" s="31">
        <f>SUMIFS(v_sales_detail[amount],v_sales_detail[product_name],C57,v_sales_detail[sale_year],$D$2,v_sales_detail[region],$D$3,v_sales_detail[sale_month],"&gt;="&amp;$D$5,v_sales_detail[sale_month],"&lt;="&amp;$D$6)</f>
        <v>4901000</v>
      </c>
      <c r="E57" s="34">
        <f>D57+ROW()/1000000</f>
        <v>4901000.000057</v>
      </c>
    </row>
    <row r="58" spans="3:5" x14ac:dyDescent="0.3">
      <c r="C58" s="22" t="str">
        <f>INDEX(v_product_performance[product_name],4)</f>
        <v>Monitor</v>
      </c>
      <c r="D58" s="31">
        <f>SUMIFS(v_sales_detail[amount],v_sales_detail[product_name],C58,v_sales_detail[sale_year],$D$2,v_sales_detail[region],$D$3,v_sales_detail[sale_month],"&gt;="&amp;$D$5,v_sales_detail[sale_month],"&lt;="&amp;$D$6)</f>
        <v>8544000</v>
      </c>
      <c r="E58" s="34">
        <f>D58+ROW()/1000000</f>
        <v>8544000.000058</v>
      </c>
    </row>
    <row r="59" spans="3:5" x14ac:dyDescent="0.3">
      <c r="C59" s="22" t="str">
        <f>INDEX(v_product_performance[product_name],5)</f>
        <v>Printer</v>
      </c>
      <c r="D59" s="31">
        <f>SUMIFS(v_sales_detail[amount],v_sales_detail[product_name],C59,v_sales_detail[sale_year],$D$2,v_sales_detail[region],$D$3,v_sales_detail[sale_month],"&gt;="&amp;$D$5,v_sales_detail[sale_month],"&lt;="&amp;$D$6)</f>
        <v>6707000</v>
      </c>
      <c r="E59" s="34">
        <f>D59+ROW()/1000000</f>
        <v>6707000.000059</v>
      </c>
    </row>
    <row r="60" spans="3:5" x14ac:dyDescent="0.3">
      <c r="C60" s="22" t="str">
        <f>INDEX(v_product_performance[product_name],3)</f>
        <v>Tablet</v>
      </c>
      <c r="D60" s="31">
        <f>SUMIFS(v_sales_detail[amount],v_sales_detail[product_name],C60,v_sales_detail[sale_year],$D$2,v_sales_detail[region],$D$3,v_sales_detail[sale_month],"&gt;="&amp;$D$5,v_sales_detail[sale_month],"&lt;="&amp;$D$6)</f>
        <v>12474000</v>
      </c>
      <c r="E60" s="34">
        <f>D60+ROW()/1000000</f>
        <v>12474000.00006</v>
      </c>
    </row>
    <row r="61" spans="3:5" x14ac:dyDescent="0.3">
      <c r="C61" s="22" t="str">
        <f>INDEX(v_product_performance[product_name],2)</f>
        <v>Smartphone</v>
      </c>
      <c r="D61" s="31">
        <f>SUMIFS(v_sales_detail[amount],v_sales_detail[product_name],C61,v_sales_detail[sale_year],$D$2,v_sales_detail[region],$D$3,v_sales_detail[sale_month],"&gt;="&amp;$D$5,v_sales_detail[sale_month],"&lt;="&amp;$D$6)</f>
        <v>18678000</v>
      </c>
      <c r="E61" s="34">
        <f>D61+ROW()/1000000</f>
        <v>18678000.000061</v>
      </c>
    </row>
    <row r="62" spans="3:5" x14ac:dyDescent="0.3">
      <c r="C62" s="22" t="str">
        <f>INDEX(v_product_performance[product_name],1)</f>
        <v>Laptop</v>
      </c>
      <c r="D62" s="31">
        <f>SUMIFS(v_sales_detail[amount],v_sales_detail[product_name],C62,v_sales_detail[sale_year],$D$2,v_sales_detail[region],$D$3,v_sales_detail[sale_month],"&gt;="&amp;$D$5,v_sales_detail[sale_month],"&lt;="&amp;$D$6)</f>
        <v>39270000</v>
      </c>
      <c r="E62" s="34">
        <f>D62+ROW()/1000000</f>
        <v>39270000.000062</v>
      </c>
    </row>
    <row r="65" spans="3:4" x14ac:dyDescent="0.3">
      <c r="C65" s="18" t="s">
        <v>104</v>
      </c>
      <c r="D65" s="18" t="s">
        <v>74</v>
      </c>
    </row>
    <row r="66" spans="3:4" x14ac:dyDescent="0.3">
      <c r="C66" s="22" t="str">
        <f>INDEX($C$51:$C$62,MATCH(LARGE($E$51:$E$62,1),$E$51:$E$62,0))</f>
        <v>Laptop</v>
      </c>
      <c r="D66" s="28">
        <f>INDEX($D$51:$D$62,MATCH(LARGE($E$51:$E$62,1),$E$51:$E$62,0))</f>
        <v>39270000</v>
      </c>
    </row>
    <row r="67" spans="3:4" x14ac:dyDescent="0.3">
      <c r="C67" s="22" t="str">
        <f>INDEX($C$51:$C$62,MATCH(LARGE($E$51:$E$62,2),$E$51:$E$62,0))</f>
        <v>Smartphone</v>
      </c>
      <c r="D67" s="28">
        <f>INDEX($D$51:$D$62,MATCH(LARGE($E$51:$E$62,2),$E$51:$E$62,0))</f>
        <v>18678000</v>
      </c>
    </row>
    <row r="68" spans="3:4" x14ac:dyDescent="0.3">
      <c r="C68" s="22" t="str">
        <f>INDEX($C$51:$C$62,MATCH(LARGE($E$51:$E$62,3),$E$51:$E$62,0))</f>
        <v>Tablet</v>
      </c>
      <c r="D68" s="28">
        <f>INDEX($D$51:$D$62,MATCH(LARGE($E$51:$E$62,3),$E$51:$E$62,0))</f>
        <v>12474000</v>
      </c>
    </row>
    <row r="69" spans="3:4" x14ac:dyDescent="0.3">
      <c r="C69" s="22" t="str">
        <f>INDEX($C$51:$C$62,MATCH(LARGE($E$51:$E$62,4),$E$51:$E$62,0))</f>
        <v>Monitor</v>
      </c>
      <c r="D69" s="28">
        <f>INDEX($D$51:$D$62,MATCH(LARGE($E$51:$E$62,4),$E$51:$E$62,0))</f>
        <v>8544000</v>
      </c>
    </row>
    <row r="70" spans="3:4" x14ac:dyDescent="0.3">
      <c r="C70" s="22" t="str">
        <f>INDEX($C$51:$C$62,MATCH(LARGE($E$51:$E$62,5),$E$51:$E$62,0))</f>
        <v>Printer</v>
      </c>
      <c r="D70" s="28">
        <f>INDEX($D$51:$D$62,MATCH(LARGE($E$51:$E$62,5),$E$51:$E$62,0))</f>
        <v>6707000</v>
      </c>
    </row>
    <row r="71" spans="3:4" x14ac:dyDescent="0.3">
      <c r="C71" s="22" t="str">
        <f>INDEX($C$51:$C$62,MATCH(LARGE($E$51:$E$62,6),$E$51:$E$62,0))</f>
        <v>Smartwatch</v>
      </c>
      <c r="D71" s="28">
        <f>INDEX($D$51:$D$62,MATCH(LARGE($E$51:$E$62,6),$E$51:$E$62,0))</f>
        <v>4901000</v>
      </c>
    </row>
    <row r="72" spans="3:4" x14ac:dyDescent="0.3">
      <c r="C72" s="22" t="str">
        <f>INDEX($C$51:$C$62,MATCH(LARGE($E$51:$E$62,7),$E$51:$E$62,0))</f>
        <v>Webcam</v>
      </c>
      <c r="D72" s="28">
        <f>INDEX($D$51:$D$62,MATCH(LARGE($E$51:$E$62,7),$E$51:$E$62,0))</f>
        <v>2382000</v>
      </c>
    </row>
    <row r="73" spans="3:4" x14ac:dyDescent="0.3">
      <c r="C73" s="22" t="str">
        <f>INDEX($C$51:$C$62,MATCH(LARGE($E$51:$E$62,8),$E$51:$E$62,0))</f>
        <v>Headphones</v>
      </c>
      <c r="D73" s="28">
        <f>INDEX($D$51:$D$62,MATCH(LARGE($E$51:$E$62,8),$E$51:$E$62,0))</f>
        <v>1825000</v>
      </c>
    </row>
    <row r="76" spans="3:4" x14ac:dyDescent="0.3">
      <c r="C76" s="18" t="s">
        <v>105</v>
      </c>
      <c r="D76" s="18" t="s">
        <v>74</v>
      </c>
    </row>
    <row r="77" spans="3:4" x14ac:dyDescent="0.3">
      <c r="C77" s="22">
        <v>1</v>
      </c>
      <c r="D77" s="28">
        <f>IF(MONTH(DATE($D$2,$D$7,C77))=$D$7,SUMIFS(v_sales_detail[amount],v_sales_detail[sale_date],DATE($D$2,$D$7,C77),v_sales_detail[region],$D$3),NA())</f>
        <v>138900</v>
      </c>
    </row>
    <row r="78" spans="3:4" x14ac:dyDescent="0.3">
      <c r="C78" s="22">
        <v>2</v>
      </c>
      <c r="D78" s="28">
        <f>IF(MONTH(DATE($D$2,$D$7,C78))=$D$7,SUMIFS(v_sales_detail[amount],v_sales_detail[sale_date],DATE($D$2,$D$7,C78),v_sales_detail[region],$D$3),NA())</f>
        <v>196500</v>
      </c>
    </row>
    <row r="79" spans="3:4" x14ac:dyDescent="0.3">
      <c r="C79" s="22">
        <v>3</v>
      </c>
      <c r="D79" s="28">
        <f>IF(MONTH(DATE($D$2,$D$7,C79))=$D$7,SUMIFS(v_sales_detail[amount],v_sales_detail[sale_date],DATE($D$2,$D$7,C79),v_sales_detail[region],$D$3),NA())</f>
        <v>481900</v>
      </c>
    </row>
    <row r="80" spans="3:4" x14ac:dyDescent="0.3">
      <c r="C80" s="22">
        <v>4</v>
      </c>
      <c r="D80" s="28">
        <f>IF(MONTH(DATE($D$2,$D$7,C80))=$D$7,SUMIFS(v_sales_detail[amount],v_sales_detail[sale_date],DATE($D$2,$D$7,C80),v_sales_detail[region],$D$3),NA())</f>
        <v>187400</v>
      </c>
    </row>
    <row r="81" spans="3:4" x14ac:dyDescent="0.3">
      <c r="C81" s="22">
        <v>5</v>
      </c>
      <c r="D81" s="28">
        <f>IF(MONTH(DATE($D$2,$D$7,C81))=$D$7,SUMIFS(v_sales_detail[amount],v_sales_detail[sale_date],DATE($D$2,$D$7,C81),v_sales_detail[region],$D$3),NA())</f>
        <v>289800</v>
      </c>
    </row>
    <row r="82" spans="3:4" x14ac:dyDescent="0.3">
      <c r="C82" s="22">
        <v>6</v>
      </c>
      <c r="D82" s="28">
        <f>IF(MONTH(DATE($D$2,$D$7,C82))=$D$7,SUMIFS(v_sales_detail[amount],v_sales_detail[sale_date],DATE($D$2,$D$7,C82),v_sales_detail[region],$D$3),NA())</f>
        <v>458200</v>
      </c>
    </row>
    <row r="83" spans="3:4" x14ac:dyDescent="0.3">
      <c r="C83" s="22">
        <v>7</v>
      </c>
      <c r="D83" s="28">
        <f>IF(MONTH(DATE($D$2,$D$7,C83))=$D$7,SUMIFS(v_sales_detail[amount],v_sales_detail[sale_date],DATE($D$2,$D$7,C83),v_sales_detail[region],$D$3),NA())</f>
        <v>280500</v>
      </c>
    </row>
    <row r="84" spans="3:4" x14ac:dyDescent="0.3">
      <c r="C84" s="22">
        <v>8</v>
      </c>
      <c r="D84" s="28">
        <f>IF(MONTH(DATE($D$2,$D$7,C84))=$D$7,SUMIFS(v_sales_detail[amount],v_sales_detail[sale_date],DATE($D$2,$D$7,C84),v_sales_detail[region],$D$3),NA())</f>
        <v>511500</v>
      </c>
    </row>
    <row r="85" spans="3:4" x14ac:dyDescent="0.3">
      <c r="C85" s="22">
        <v>9</v>
      </c>
      <c r="D85" s="28">
        <f>IF(MONTH(DATE($D$2,$D$7,C85))=$D$7,SUMIFS(v_sales_detail[amount],v_sales_detail[sale_date],DATE($D$2,$D$7,C85),v_sales_detail[region],$D$3),NA())</f>
        <v>142500</v>
      </c>
    </row>
    <row r="86" spans="3:4" x14ac:dyDescent="0.3">
      <c r="C86" s="22">
        <v>10</v>
      </c>
      <c r="D86" s="28">
        <f>IF(MONTH(DATE($D$2,$D$7,C86))=$D$7,SUMIFS(v_sales_detail[amount],v_sales_detail[sale_date],DATE($D$2,$D$7,C86),v_sales_detail[region],$D$3),NA())</f>
        <v>563600</v>
      </c>
    </row>
    <row r="87" spans="3:4" x14ac:dyDescent="0.3">
      <c r="C87" s="22">
        <v>11</v>
      </c>
      <c r="D87" s="28">
        <f>IF(MONTH(DATE($D$2,$D$7,C87))=$D$7,SUMIFS(v_sales_detail[amount],v_sales_detail[sale_date],DATE($D$2,$D$7,C87),v_sales_detail[region],$D$3),NA())</f>
        <v>100200</v>
      </c>
    </row>
    <row r="88" spans="3:4" x14ac:dyDescent="0.3">
      <c r="C88" s="22">
        <v>12</v>
      </c>
      <c r="D88" s="28">
        <f>IF(MONTH(DATE($D$2,$D$7,C88))=$D$7,SUMIFS(v_sales_detail[amount],v_sales_detail[sale_date],DATE($D$2,$D$7,C88),v_sales_detail[region],$D$3),NA())</f>
        <v>486200</v>
      </c>
    </row>
    <row r="89" spans="3:4" x14ac:dyDescent="0.3">
      <c r="C89" s="22">
        <v>13</v>
      </c>
      <c r="D89" s="28">
        <f>IF(MONTH(DATE($D$2,$D$7,C89))=$D$7,SUMIFS(v_sales_detail[amount],v_sales_detail[sale_date],DATE($D$2,$D$7,C89),v_sales_detail[region],$D$3),NA())</f>
        <v>513300</v>
      </c>
    </row>
    <row r="90" spans="3:4" x14ac:dyDescent="0.3">
      <c r="C90" s="22">
        <v>14</v>
      </c>
      <c r="D90" s="28">
        <f>IF(MONTH(DATE($D$2,$D$7,C90))=$D$7,SUMIFS(v_sales_detail[amount],v_sales_detail[sale_date],DATE($D$2,$D$7,C90),v_sales_detail[region],$D$3),NA())</f>
        <v>266400</v>
      </c>
    </row>
    <row r="91" spans="3:4" x14ac:dyDescent="0.3">
      <c r="C91" s="22">
        <v>15</v>
      </c>
      <c r="D91" s="28">
        <f>IF(MONTH(DATE($D$2,$D$7,C91))=$D$7,SUMIFS(v_sales_detail[amount],v_sales_detail[sale_date],DATE($D$2,$D$7,C91),v_sales_detail[region],$D$3),NA())</f>
        <v>185500</v>
      </c>
    </row>
    <row r="92" spans="3:4" x14ac:dyDescent="0.3">
      <c r="C92" s="22">
        <v>16</v>
      </c>
      <c r="D92" s="28">
        <f>IF(MONTH(DATE($D$2,$D$7,C92))=$D$7,SUMIFS(v_sales_detail[amount],v_sales_detail[sale_date],DATE($D$2,$D$7,C92),v_sales_detail[region],$D$3),NA())</f>
        <v>332200</v>
      </c>
    </row>
    <row r="93" spans="3:4" x14ac:dyDescent="0.3">
      <c r="C93" s="22">
        <v>17</v>
      </c>
      <c r="D93" s="28">
        <f>IF(MONTH(DATE($D$2,$D$7,C93))=$D$7,SUMIFS(v_sales_detail[amount],v_sales_detail[sale_date],DATE($D$2,$D$7,C93),v_sales_detail[region],$D$3),NA())</f>
        <v>107600</v>
      </c>
    </row>
    <row r="94" spans="3:4" x14ac:dyDescent="0.3">
      <c r="C94" s="22">
        <v>18</v>
      </c>
      <c r="D94" s="28">
        <f>IF(MONTH(DATE($D$2,$D$7,C94))=$D$7,SUMIFS(v_sales_detail[amount],v_sales_detail[sale_date],DATE($D$2,$D$7,C94),v_sales_detail[region],$D$3),NA())</f>
        <v>386500</v>
      </c>
    </row>
    <row r="95" spans="3:4" x14ac:dyDescent="0.3">
      <c r="C95" s="22">
        <v>19</v>
      </c>
      <c r="D95" s="28">
        <f>IF(MONTH(DATE($D$2,$D$7,C95))=$D$7,SUMIFS(v_sales_detail[amount],v_sales_detail[sale_date],DATE($D$2,$D$7,C95),v_sales_detail[region],$D$3),NA())</f>
        <v>409600</v>
      </c>
    </row>
    <row r="96" spans="3:4" x14ac:dyDescent="0.3">
      <c r="C96" s="22">
        <v>20</v>
      </c>
      <c r="D96" s="28">
        <f>IF(MONTH(DATE($D$2,$D$7,C96))=$D$7,SUMIFS(v_sales_detail[amount],v_sales_detail[sale_date],DATE($D$2,$D$7,C96),v_sales_detail[region],$D$3),NA())</f>
        <v>213700</v>
      </c>
    </row>
    <row r="97" spans="3:4" x14ac:dyDescent="0.3">
      <c r="C97" s="22">
        <v>21</v>
      </c>
      <c r="D97" s="28">
        <f>IF(MONTH(DATE($D$2,$D$7,C97))=$D$7,SUMIFS(v_sales_detail[amount],v_sales_detail[sale_date],DATE($D$2,$D$7,C97),v_sales_detail[region],$D$3),NA())</f>
        <v>143700</v>
      </c>
    </row>
    <row r="98" spans="3:4" x14ac:dyDescent="0.3">
      <c r="C98" s="22">
        <v>22</v>
      </c>
      <c r="D98" s="28">
        <f>IF(MONTH(DATE($D$2,$D$7,C98))=$D$7,SUMIFS(v_sales_detail[amount],v_sales_detail[sale_date],DATE($D$2,$D$7,C98),v_sales_detail[region],$D$3),NA())</f>
        <v>332500</v>
      </c>
    </row>
    <row r="99" spans="3:4" x14ac:dyDescent="0.3">
      <c r="C99" s="22">
        <v>23</v>
      </c>
      <c r="D99" s="28">
        <f>IF(MONTH(DATE($D$2,$D$7,C99))=$D$7,SUMIFS(v_sales_detail[amount],v_sales_detail[sale_date],DATE($D$2,$D$7,C99),v_sales_detail[region],$D$3),NA())</f>
        <v>232700</v>
      </c>
    </row>
    <row r="100" spans="3:4" x14ac:dyDescent="0.3">
      <c r="C100" s="22">
        <v>24</v>
      </c>
      <c r="D100" s="28">
        <f>IF(MONTH(DATE($D$2,$D$7,C100))=$D$7,SUMIFS(v_sales_detail[amount],v_sales_detail[sale_date],DATE($D$2,$D$7,C100),v_sales_detail[region],$D$3),NA())</f>
        <v>777100</v>
      </c>
    </row>
    <row r="101" spans="3:4" x14ac:dyDescent="0.3">
      <c r="C101" s="22">
        <v>25</v>
      </c>
      <c r="D101" s="28">
        <f>IF(MONTH(DATE($D$2,$D$7,C101))=$D$7,SUMIFS(v_sales_detail[amount],v_sales_detail[sale_date],DATE($D$2,$D$7,C101),v_sales_detail[region],$D$3),NA())</f>
        <v>81800</v>
      </c>
    </row>
    <row r="102" spans="3:4" x14ac:dyDescent="0.3">
      <c r="C102" s="22">
        <v>26</v>
      </c>
      <c r="D102" s="28">
        <f>IF(MONTH(DATE($D$2,$D$7,C102))=$D$7,SUMIFS(v_sales_detail[amount],v_sales_detail[sale_date],DATE($D$2,$D$7,C102),v_sales_detail[region],$D$3),NA())</f>
        <v>89900</v>
      </c>
    </row>
    <row r="103" spans="3:4" x14ac:dyDescent="0.3">
      <c r="C103" s="22">
        <v>27</v>
      </c>
      <c r="D103" s="28">
        <f>IF(MONTH(DATE($D$2,$D$7,C103))=$D$7,SUMIFS(v_sales_detail[amount],v_sales_detail[sale_date],DATE($D$2,$D$7,C103),v_sales_detail[region],$D$3),NA())</f>
        <v>268300</v>
      </c>
    </row>
    <row r="104" spans="3:4" x14ac:dyDescent="0.3">
      <c r="C104" s="22">
        <v>28</v>
      </c>
      <c r="D104" s="28">
        <f>IF(MONTH(DATE($D$2,$D$7,C104))=$D$7,SUMIFS(v_sales_detail[amount],v_sales_detail[sale_date],DATE($D$2,$D$7,C104),v_sales_detail[region],$D$3),NA())</f>
        <v>359000</v>
      </c>
    </row>
    <row r="105" spans="3:4" x14ac:dyDescent="0.3">
      <c r="C105" s="22">
        <v>29</v>
      </c>
      <c r="D105" s="28">
        <f>IF(MONTH(DATE($D$2,$D$7,C105))=$D$7,SUMIFS(v_sales_detail[amount],v_sales_detail[sale_date],DATE($D$2,$D$7,C105),v_sales_detail[region],$D$3),NA())</f>
        <v>100200</v>
      </c>
    </row>
    <row r="106" spans="3:4" x14ac:dyDescent="0.3">
      <c r="C106" s="22">
        <v>30</v>
      </c>
      <c r="D106" s="28">
        <f>IF(MONTH(DATE($D$2,$D$7,C106))=$D$7,SUMIFS(v_sales_detail[amount],v_sales_detail[sale_date],DATE($D$2,$D$7,C106),v_sales_detail[region],$D$3),NA())</f>
        <v>898500</v>
      </c>
    </row>
    <row r="107" spans="3:4" x14ac:dyDescent="0.3">
      <c r="C107" s="22">
        <v>31</v>
      </c>
      <c r="D107" s="28">
        <f>IF(MONTH(DATE($D$2,$D$7,C107))=$D$7,SUMIFS(v_sales_detail[amount],v_sales_detail[sale_date],DATE($D$2,$D$7,C107),v_sales_detail[region],$D$3),NA())</f>
        <v>0</v>
      </c>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930121-1B53-4EA7-82DD-01218A801F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Daily Summary</vt:lpstr>
      <vt:lpstr>Monthly Performance</vt:lpstr>
      <vt:lpstr>Monthly Trend</vt:lpstr>
      <vt:lpstr>Reference Data</vt:lpstr>
      <vt:lpstr>Product Summary</vt:lpstr>
      <vt:lpstr>Sales Detail</vt:lpstr>
      <vt:lpstr>Target Detail</vt:lpstr>
      <vt:lpstr>Dashboard</vt:lpstr>
      <vt:lpstr>Helper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2026-10-29T21:32:21Z</dcterms:created>
  <dcterms:modified xsi:type="dcterms:W3CDTF">2026-10-30T05:28:55Z</dcterms:modified>
</cp:coreProperties>
</file>